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Unit Economics" sheetId="2" state="visible" r:id="rId2"/>
    <sheet name="Scenarios" sheetId="3" state="visible" r:id="rId3"/>
    <sheet name="Break-Even" sheetId="4" state="visible" r:id="rId4"/>
    <sheet name="Cash Flow 24m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"/>
    <numFmt numFmtId="165" formatCode="0.0%"/>
    <numFmt numFmtId="166" formatCode="0.0"/>
  </numFmts>
  <fonts count="6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  <font>
      <color rgb="007A5C00"/>
    </font>
    <font>
      <i val="1"/>
      <color rgb="006B7280"/>
      <sz val="9"/>
    </font>
    <font>
      <color rgb="001D4ED8"/>
    </font>
  </fonts>
  <fills count="4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FF9DB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0" fontId="3" fillId="3" borderId="1" pivotButton="0" quotePrefix="0" xfId="0"/>
    <xf numFmtId="0" fontId="4" fillId="0" borderId="0" pivotButton="0" quotePrefix="0" xfId="0"/>
    <xf numFmtId="2" fontId="5" fillId="0" borderId="1" pivotButton="0" quotePrefix="0" xfId="0"/>
    <xf numFmtId="164" fontId="5" fillId="0" borderId="1" pivotButton="0" quotePrefix="0" xfId="0"/>
    <xf numFmtId="165" fontId="5" fillId="0" borderId="1" pivotButton="0" quotePrefix="0" xfId="0"/>
    <xf numFmtId="3" fontId="5" fillId="0" borderId="1" pivotButton="0" quotePrefix="0" xfId="0"/>
    <xf numFmtId="166" fontId="5" fillId="0" borderId="1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MRR vs EBITDA по сценариям MAU</a:t>
            </a:r>
          </a:p>
        </rich>
      </tx>
    </title>
    <plotArea>
      <lineChart>
        <grouping val="standard"/>
        <ser>
          <idx val="0"/>
          <order val="0"/>
          <tx>
            <v>MRR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'Scenarios'!$B$3:$H$3</f>
            </numRef>
          </cat>
          <val>
            <numRef>
              <f>'Scenarios'!$B$6</f>
            </numRef>
          </val>
        </ser>
        <ser>
          <idx val="1"/>
          <order val="1"/>
          <tx>
            <v>EBITDA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'Scenarios'!$B$3:$H$3</f>
            </numRef>
          </cat>
          <val>
            <numRef>
              <f>'Scenarios'!$C$6</f>
            </numRef>
          </val>
        </ser>
        <ser>
          <idx val="2"/>
          <order val="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'Scenarios'!$B$3:$H$3</f>
            </numRef>
          </cat>
          <val>
            <numRef>
              <f>'Scenarios'!$D$6</f>
            </numRef>
          </val>
        </ser>
        <ser>
          <idx val="3"/>
          <order val="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'Scenarios'!$B$3:$H$3</f>
            </numRef>
          </cat>
          <val>
            <numRef>
              <f>'Scenarios'!$E$6</f>
            </numRef>
          </val>
        </ser>
        <ser>
          <idx val="4"/>
          <order val="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'Scenarios'!$B$3:$H$3</f>
            </numRef>
          </cat>
          <val>
            <numRef>
              <f>'Scenarios'!$F$6</f>
            </numRef>
          </val>
        </ser>
        <ser>
          <idx val="5"/>
          <order val="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'Scenarios'!$B$3:$H$3</f>
            </numRef>
          </cat>
          <val>
            <numRef>
              <f>'Scenarios'!$G$6</f>
            </numRef>
          </val>
        </ser>
        <ser>
          <idx val="6"/>
          <order val="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'Scenarios'!$B$3:$H$3</f>
            </numRef>
          </cat>
          <val>
            <numRef>
              <f>'Scenarios'!$H$6</f>
            </numRef>
          </val>
        </ser>
        <ser>
          <idx val="7"/>
          <order val="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'Scenarios'!$B$3:$H$3</f>
            </numRef>
          </cat>
          <val>
            <numRef>
              <f>'Scenarios'!$B$12</f>
            </numRef>
          </val>
        </ser>
        <ser>
          <idx val="8"/>
          <order val="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'Scenarios'!$B$3:$H$3</f>
            </numRef>
          </cat>
          <val>
            <numRef>
              <f>'Scenarios'!$C$12</f>
            </numRef>
          </val>
        </ser>
        <ser>
          <idx val="9"/>
          <order val="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'Scenarios'!$B$3:$H$3</f>
            </numRef>
          </cat>
          <val>
            <numRef>
              <f>'Scenarios'!$D$12</f>
            </numRef>
          </val>
        </ser>
        <ser>
          <idx val="10"/>
          <order val="1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'Scenarios'!$B$3:$H$3</f>
            </numRef>
          </cat>
          <val>
            <numRef>
              <f>'Scenarios'!$E$12</f>
            </numRef>
          </val>
        </ser>
        <ser>
          <idx val="11"/>
          <order val="1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'Scenarios'!$B$3:$H$3</f>
            </numRef>
          </cat>
          <val>
            <numRef>
              <f>'Scenarios'!$F$12</f>
            </numRef>
          </val>
        </ser>
        <ser>
          <idx val="12"/>
          <order val="1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'Scenarios'!$B$3:$H$3</f>
            </numRef>
          </cat>
          <val>
            <numRef>
              <f>'Scenarios'!$G$12</f>
            </numRef>
          </val>
        </ser>
        <ser>
          <idx val="13"/>
          <order val="1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'Scenarios'!$B$3:$H$3</f>
            </numRef>
          </cat>
          <val>
            <numRef>
              <f>'Scenarios'!$H$12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MAU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USD/мес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Cumulative Cash (24 мес.)</a:t>
            </a:r>
          </a:p>
        </rich>
      </tx>
    </title>
    <plotArea>
      <lineChart>
        <grouping val="standard"/>
        <ser>
          <idx val="0"/>
          <order val="0"/>
          <tx>
            <v>Cumulative Cash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'Cash Flow 24mo'!$B$5:$Y$5</f>
            </numRef>
          </cat>
          <val>
            <numRef>
              <f>'Cash Flow 24mo'!$B$13</f>
            </numRef>
          </val>
        </ser>
        <ser>
          <idx val="1"/>
          <order val="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'Cash Flow 24mo'!$B$5:$Y$5</f>
            </numRef>
          </cat>
          <val>
            <numRef>
              <f>'Cash Flow 24mo'!$C$13</f>
            </numRef>
          </val>
        </ser>
        <ser>
          <idx val="2"/>
          <order val="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'Cash Flow 24mo'!$B$5:$Y$5</f>
            </numRef>
          </cat>
          <val>
            <numRef>
              <f>'Cash Flow 24mo'!$D$13</f>
            </numRef>
          </val>
        </ser>
        <ser>
          <idx val="3"/>
          <order val="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'Cash Flow 24mo'!$B$5:$Y$5</f>
            </numRef>
          </cat>
          <val>
            <numRef>
              <f>'Cash Flow 24mo'!$E$13</f>
            </numRef>
          </val>
        </ser>
        <ser>
          <idx val="4"/>
          <order val="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'Cash Flow 24mo'!$B$5:$Y$5</f>
            </numRef>
          </cat>
          <val>
            <numRef>
              <f>'Cash Flow 24mo'!$F$13</f>
            </numRef>
          </val>
        </ser>
        <ser>
          <idx val="5"/>
          <order val="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'Cash Flow 24mo'!$B$5:$Y$5</f>
            </numRef>
          </cat>
          <val>
            <numRef>
              <f>'Cash Flow 24mo'!$G$13</f>
            </numRef>
          </val>
        </ser>
        <ser>
          <idx val="6"/>
          <order val="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'Cash Flow 24mo'!$B$5:$Y$5</f>
            </numRef>
          </cat>
          <val>
            <numRef>
              <f>'Cash Flow 24mo'!$H$13</f>
            </numRef>
          </val>
        </ser>
        <ser>
          <idx val="7"/>
          <order val="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'Cash Flow 24mo'!$B$5:$Y$5</f>
            </numRef>
          </cat>
          <val>
            <numRef>
              <f>'Cash Flow 24mo'!$I$13</f>
            </numRef>
          </val>
        </ser>
        <ser>
          <idx val="8"/>
          <order val="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'Cash Flow 24mo'!$B$5:$Y$5</f>
            </numRef>
          </cat>
          <val>
            <numRef>
              <f>'Cash Flow 24mo'!$J$13</f>
            </numRef>
          </val>
        </ser>
        <ser>
          <idx val="9"/>
          <order val="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'Cash Flow 24mo'!$B$5:$Y$5</f>
            </numRef>
          </cat>
          <val>
            <numRef>
              <f>'Cash Flow 24mo'!$K$13</f>
            </numRef>
          </val>
        </ser>
        <ser>
          <idx val="10"/>
          <order val="1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'Cash Flow 24mo'!$B$5:$Y$5</f>
            </numRef>
          </cat>
          <val>
            <numRef>
              <f>'Cash Flow 24mo'!$L$13</f>
            </numRef>
          </val>
        </ser>
        <ser>
          <idx val="11"/>
          <order val="1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'Cash Flow 24mo'!$B$5:$Y$5</f>
            </numRef>
          </cat>
          <val>
            <numRef>
              <f>'Cash Flow 24mo'!$M$13</f>
            </numRef>
          </val>
        </ser>
        <ser>
          <idx val="12"/>
          <order val="1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'Cash Flow 24mo'!$B$5:$Y$5</f>
            </numRef>
          </cat>
          <val>
            <numRef>
              <f>'Cash Flow 24mo'!$N$13</f>
            </numRef>
          </val>
        </ser>
        <ser>
          <idx val="13"/>
          <order val="1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'Cash Flow 24mo'!$B$5:$Y$5</f>
            </numRef>
          </cat>
          <val>
            <numRef>
              <f>'Cash Flow 24mo'!$O$13</f>
            </numRef>
          </val>
        </ser>
        <ser>
          <idx val="14"/>
          <order val="1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'Cash Flow 24mo'!$B$5:$Y$5</f>
            </numRef>
          </cat>
          <val>
            <numRef>
              <f>'Cash Flow 24mo'!$P$13</f>
            </numRef>
          </val>
        </ser>
        <ser>
          <idx val="15"/>
          <order val="1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'Cash Flow 24mo'!$B$5:$Y$5</f>
            </numRef>
          </cat>
          <val>
            <numRef>
              <f>'Cash Flow 24mo'!$Q$13</f>
            </numRef>
          </val>
        </ser>
        <ser>
          <idx val="16"/>
          <order val="1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'Cash Flow 24mo'!$B$5:$Y$5</f>
            </numRef>
          </cat>
          <val>
            <numRef>
              <f>'Cash Flow 24mo'!$R$13</f>
            </numRef>
          </val>
        </ser>
        <ser>
          <idx val="17"/>
          <order val="1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'Cash Flow 24mo'!$B$5:$Y$5</f>
            </numRef>
          </cat>
          <val>
            <numRef>
              <f>'Cash Flow 24mo'!$S$13</f>
            </numRef>
          </val>
        </ser>
        <ser>
          <idx val="18"/>
          <order val="1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'Cash Flow 24mo'!$B$5:$Y$5</f>
            </numRef>
          </cat>
          <val>
            <numRef>
              <f>'Cash Flow 24mo'!$T$13</f>
            </numRef>
          </val>
        </ser>
        <ser>
          <idx val="19"/>
          <order val="1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'Cash Flow 24mo'!$B$5:$Y$5</f>
            </numRef>
          </cat>
          <val>
            <numRef>
              <f>'Cash Flow 24mo'!$U$13</f>
            </numRef>
          </val>
        </ser>
        <ser>
          <idx val="20"/>
          <order val="2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'Cash Flow 24mo'!$B$5:$Y$5</f>
            </numRef>
          </cat>
          <val>
            <numRef>
              <f>'Cash Flow 24mo'!$V$13</f>
            </numRef>
          </val>
        </ser>
        <ser>
          <idx val="21"/>
          <order val="2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'Cash Flow 24mo'!$B$5:$Y$5</f>
            </numRef>
          </cat>
          <val>
            <numRef>
              <f>'Cash Flow 24mo'!$W$13</f>
            </numRef>
          </val>
        </ser>
        <ser>
          <idx val="22"/>
          <order val="2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'Cash Flow 24mo'!$B$5:$Y$5</f>
            </numRef>
          </cat>
          <val>
            <numRef>
              <f>'Cash Flow 24mo'!$X$13</f>
            </numRef>
          </val>
        </ser>
        <ser>
          <idx val="23"/>
          <order val="2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'Cash Flow 24mo'!$B$5:$Y$5</f>
            </numRef>
          </cat>
          <val>
            <numRef>
              <f>'Cash Flow 24mo'!$Y$13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USD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23</row>
      <rowOff>0</rowOff>
    </from>
    <ext cx="720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15</row>
      <rowOff>0</rowOff>
    </from>
    <ext cx="864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4" customWidth="1" min="2" max="2"/>
    <col width="40" customWidth="1" min="3" max="3"/>
    <col width="5" customWidth="1" min="4" max="4"/>
  </cols>
  <sheetData>
    <row r="1">
      <c r="A1" s="1" t="inlineStr">
        <is>
          <t>Nusa AI — Financial Model: Assumptions (все жёлтые ячейки редактируемые)</t>
        </is>
      </c>
    </row>
    <row r="3">
      <c r="A3" s="2" t="inlineStr">
        <is>
          <t>PRICING (USD/mo, привязано к Rupiah ориентировочно)</t>
        </is>
      </c>
      <c r="B3" s="2" t="n"/>
      <c r="C3" s="2" t="n"/>
      <c r="D3" s="2" t="n"/>
    </row>
    <row r="4">
      <c r="A4" s="3" t="inlineStr">
        <is>
          <t>Free tier — token allowance/mo</t>
        </is>
      </c>
      <c r="B4" s="4" t="n">
        <v>150</v>
      </c>
      <c r="C4" s="5" t="inlineStr">
        <is>
          <t>токены</t>
        </is>
      </c>
    </row>
    <row r="5">
      <c r="A5" s="3" t="inlineStr">
        <is>
          <t>Tier Basic — price</t>
        </is>
      </c>
      <c r="B5" s="4" t="n">
        <v>3.5</v>
      </c>
      <c r="C5" s="5" t="inlineStr">
        <is>
          <t>USD/mo (~Rp 55,000)</t>
        </is>
      </c>
    </row>
    <row r="6">
      <c r="A6" s="3" t="inlineStr">
        <is>
          <t>Tier Basic — token allowance/mo</t>
        </is>
      </c>
      <c r="B6" s="4" t="n">
        <v>1000</v>
      </c>
      <c r="C6" s="5" t="inlineStr">
        <is>
          <t>токены</t>
        </is>
      </c>
    </row>
    <row r="7">
      <c r="A7" s="3" t="inlineStr">
        <is>
          <t>Tier Pro — price</t>
        </is>
      </c>
      <c r="B7" s="4" t="n">
        <v>9</v>
      </c>
      <c r="C7" s="5" t="inlineStr">
        <is>
          <t>USD/mo (~Rp 145,000)</t>
        </is>
      </c>
    </row>
    <row r="8">
      <c r="A8" s="3" t="inlineStr">
        <is>
          <t>Tier Pro — token allowance/mo</t>
        </is>
      </c>
      <c r="B8" s="4" t="n">
        <v>3500</v>
      </c>
      <c r="C8" s="5" t="inlineStr">
        <is>
          <t>токены</t>
        </is>
      </c>
    </row>
    <row r="9">
      <c r="A9" s="3" t="inlineStr">
        <is>
          <t>Tier Business — price</t>
        </is>
      </c>
      <c r="B9" s="4" t="n">
        <v>24</v>
      </c>
      <c r="C9" s="5" t="inlineStr">
        <is>
          <t>USD/mo (~Rp 385,000)</t>
        </is>
      </c>
    </row>
    <row r="10">
      <c r="A10" s="3" t="inlineStr">
        <is>
          <t>Tier Business — token allowance/mo</t>
        </is>
      </c>
      <c r="B10" s="4" t="n">
        <v>12000</v>
      </c>
      <c r="C10" s="5" t="inlineStr">
        <is>
          <t>токены</t>
        </is>
      </c>
    </row>
    <row r="11">
      <c r="A11" s="3" t="inlineStr">
        <is>
          <t>Top-up pack price (extra 1000 tokens)</t>
        </is>
      </c>
      <c r="B11" s="4" t="n">
        <v>3</v>
      </c>
      <c r="C11" s="5" t="inlineStr">
        <is>
          <t>USD</t>
        </is>
      </c>
    </row>
    <row r="13">
      <c r="A13" s="2" t="inlineStr">
        <is>
          <t>USER MIX / CONVERSION</t>
        </is>
      </c>
      <c r="B13" s="2" t="n"/>
      <c r="C13" s="2" t="n"/>
      <c r="D13" s="2" t="n"/>
    </row>
    <row r="14">
      <c r="A14" s="3" t="inlineStr">
        <is>
          <t>% free users who convert to any paid tier /mo</t>
        </is>
      </c>
      <c r="B14" s="4" t="n">
        <v>0.04</v>
      </c>
      <c r="C14" s="5" t="inlineStr">
        <is>
          <t>доля</t>
        </is>
      </c>
    </row>
    <row r="15">
      <c r="A15" s="3" t="inlineStr">
        <is>
          <t>Paid mix — % on Basic</t>
        </is>
      </c>
      <c r="B15" s="4" t="n">
        <v>0.55</v>
      </c>
      <c r="C15" s="5" t="inlineStr">
        <is>
          <t>доля от платящих</t>
        </is>
      </c>
    </row>
    <row r="16">
      <c r="A16" s="3" t="inlineStr">
        <is>
          <t>Paid mix — % on Pro</t>
        </is>
      </c>
      <c r="B16" s="4" t="n">
        <v>0.35</v>
      </c>
      <c r="C16" s="5" t="inlineStr">
        <is>
          <t>доля от платящих</t>
        </is>
      </c>
    </row>
    <row r="17">
      <c r="A17" s="3" t="inlineStr">
        <is>
          <t>Paid mix — % on Business</t>
        </is>
      </c>
      <c r="B17" s="4" t="n">
        <v>0.1</v>
      </c>
      <c r="C17" s="5" t="inlineStr">
        <is>
          <t>доля от платящих</t>
        </is>
      </c>
    </row>
    <row r="18">
      <c r="A18" s="3" t="inlineStr">
        <is>
          <t>Monthly churn — paid users</t>
        </is>
      </c>
      <c r="B18" s="4" t="n">
        <v>0.09</v>
      </c>
      <c r="C18" s="5" t="inlineStr">
        <is>
          <t>доля/мес</t>
        </is>
      </c>
    </row>
    <row r="19">
      <c r="A19" s="3" t="inlineStr">
        <is>
          <t>Avg top-up purchases per paying user/mo</t>
        </is>
      </c>
      <c r="B19" s="4" t="n">
        <v>0.3</v>
      </c>
      <c r="C19" s="5" t="inlineStr">
        <is>
          <t>шт</t>
        </is>
      </c>
    </row>
    <row r="21">
      <c r="A21" s="2" t="inlineStr">
        <is>
          <t>COGS — стоимость генерации (USD), см. Этап 04/05</t>
        </is>
      </c>
      <c r="B21" s="2" t="n"/>
      <c r="C21" s="2" t="n"/>
      <c r="D21" s="2" t="n"/>
    </row>
    <row r="22">
      <c r="A22" s="3" t="inlineStr">
        <is>
          <t>Avg cost per image generation (blended)</t>
        </is>
      </c>
      <c r="B22" s="4" t="n">
        <v>0.012</v>
      </c>
      <c r="C22" s="5" t="inlineStr">
        <is>
          <t>USD, см. 04.2 (Runware/DeepInfra/Imagen blend)</t>
        </is>
      </c>
    </row>
    <row r="23">
      <c r="A23" s="3" t="inlineStr">
        <is>
          <t>Avg cost per video generation (5s, blended)</t>
        </is>
      </c>
      <c r="B23" s="4" t="n">
        <v>0.35</v>
      </c>
      <c r="C23" s="5" t="inlineStr">
        <is>
          <t>USD, см. 04.3 (Wan/Kling/Veo blend)</t>
        </is>
      </c>
    </row>
    <row r="24">
      <c r="A24" s="3" t="inlineStr">
        <is>
          <t>Avg cost per chat message (LLM, blended)</t>
        </is>
      </c>
      <c r="B24" s="4" t="n">
        <v>0.0025</v>
      </c>
      <c r="C24" s="5" t="inlineStr">
        <is>
          <t>USD, см. 04.1 (Haiku/Flash-Lite blend)</t>
        </is>
      </c>
    </row>
    <row r="25">
      <c r="A25" s="3" t="inlineStr">
        <is>
          <t>Avg cost per audio/voice generation</t>
        </is>
      </c>
      <c r="B25" s="4" t="n">
        <v>0.02</v>
      </c>
      <c r="C25" s="5" t="inlineStr">
        <is>
          <t>USD, см. 04.4 (ElevenLabs/Groq blend)</t>
        </is>
      </c>
    </row>
    <row r="26">
      <c r="A26" s="3" t="inlineStr">
        <is>
          <t>Tokens charged per image generation</t>
        </is>
      </c>
      <c r="B26" s="4" t="n">
        <v>8</v>
      </c>
      <c r="C26" s="5" t="inlineStr">
        <is>
          <t>токены — продуктовое решение, не факт SYNTX</t>
        </is>
      </c>
    </row>
    <row r="27">
      <c r="A27" s="3" t="inlineStr">
        <is>
          <t>Tokens charged per video generation (5s)</t>
        </is>
      </c>
      <c r="B27" s="4" t="n">
        <v>120</v>
      </c>
      <c r="C27" s="5" t="inlineStr">
        <is>
          <t>токены</t>
        </is>
      </c>
    </row>
    <row r="28">
      <c r="A28" s="3" t="inlineStr">
        <is>
          <t>Tokens charged per chat message</t>
        </is>
      </c>
      <c r="B28" s="4" t="n">
        <v>1</v>
      </c>
      <c r="C28" s="5" t="inlineStr">
        <is>
          <t>токены</t>
        </is>
      </c>
    </row>
    <row r="29">
      <c r="A29" s="3" t="inlineStr">
        <is>
          <t>Tokens charged per audio generation</t>
        </is>
      </c>
      <c r="B29" s="4" t="n">
        <v>15</v>
      </c>
      <c r="C29" s="5" t="inlineStr">
        <is>
          <t>токены</t>
        </is>
      </c>
    </row>
    <row r="30">
      <c r="A30" s="3" t="inlineStr">
        <is>
          <t>Generation mix — % of TOKENS spent on image</t>
        </is>
      </c>
      <c r="B30" s="4" t="n">
        <v>0.55</v>
      </c>
      <c r="C30" s="5" t="inlineStr">
        <is>
          <t>доля токен-трат</t>
        </is>
      </c>
    </row>
    <row r="31">
      <c r="A31" s="3" t="inlineStr">
        <is>
          <t>Generation mix — % of TOKENS spent on video</t>
        </is>
      </c>
      <c r="B31" s="4" t="n">
        <v>0.15</v>
      </c>
      <c r="C31" s="5" t="inlineStr">
        <is>
          <t>доля токен-трат</t>
        </is>
      </c>
    </row>
    <row r="32">
      <c r="A32" s="3" t="inlineStr">
        <is>
          <t>Generation mix — % of TOKENS spent on chat</t>
        </is>
      </c>
      <c r="B32" s="4" t="n">
        <v>0.25</v>
      </c>
      <c r="C32" s="5" t="inlineStr">
        <is>
          <t>доля токен-трат</t>
        </is>
      </c>
    </row>
    <row r="33">
      <c r="A33" s="3" t="inlineStr">
        <is>
          <t>Generation mix — % of TOKENS spent on audio</t>
        </is>
      </c>
      <c r="B33" s="4" t="n">
        <v>0.05</v>
      </c>
      <c r="C33" s="5" t="inlineStr">
        <is>
          <t>доля токен-трат</t>
        </is>
      </c>
    </row>
    <row r="34">
      <c r="A34" s="3" t="inlineStr">
        <is>
          <t>Allowance utilization rate (breakage — доля фактически потраченных токенов от пакета)</t>
        </is>
      </c>
      <c r="B34" s="4" t="n">
        <v>0.55</v>
      </c>
      <c r="C34" s="5" t="inlineStr">
        <is>
          <t>доля, [EST] типично 40-70% для credit-моделей</t>
        </is>
      </c>
    </row>
    <row r="35">
      <c r="A35" s="3" t="inlineStr">
        <is>
          <t>Payment processing fee (Midtrans/Xendit avg)</t>
        </is>
      </c>
      <c r="B35" s="4" t="n">
        <v>0.029</v>
      </c>
      <c r="C35" s="5" t="inlineStr">
        <is>
          <t>доля от revenue</t>
        </is>
      </c>
    </row>
    <row r="37">
      <c r="A37" s="2" t="inlineStr">
        <is>
          <t>CAC / MARKETING</t>
        </is>
      </c>
      <c r="B37" s="2" t="n"/>
      <c r="C37" s="2" t="n"/>
      <c r="D37" s="2" t="n"/>
    </row>
    <row r="38">
      <c r="A38" s="3" t="inlineStr">
        <is>
          <t>Blended CAC per new registered user</t>
        </is>
      </c>
      <c r="B38" s="4" t="n">
        <v>0.9</v>
      </c>
      <c r="C38" s="5" t="inlineStr">
        <is>
          <t>USD (Telegram Ads, influencers, ASO)</t>
        </is>
      </c>
    </row>
    <row r="39">
      <c r="A39" s="3" t="inlineStr">
        <is>
          <t>Blended CAC per new PAYING user</t>
        </is>
      </c>
      <c r="B39" s="4" t="n">
        <v>14</v>
      </c>
      <c r="C39" s="5" t="inlineStr">
        <is>
          <t>USD</t>
        </is>
      </c>
    </row>
    <row r="40">
      <c r="A40" s="3" t="inlineStr">
        <is>
          <t>Organic/referral share of new users</t>
        </is>
      </c>
      <c r="B40" s="4" t="n">
        <v>0.35</v>
      </c>
      <c r="C40" s="5" t="inlineStr">
        <is>
          <t>доля, снижает blended CAC</t>
        </is>
      </c>
    </row>
    <row r="42">
      <c r="A42" s="2" t="inlineStr">
        <is>
          <t>OPEX — фиксированные ежемесячные расходы (USD)</t>
        </is>
      </c>
      <c r="B42" s="2" t="n"/>
      <c r="C42" s="2" t="n"/>
      <c r="D42" s="2" t="n"/>
    </row>
    <row r="43">
      <c r="A43" s="3" t="inlineStr">
        <is>
          <t>Team cost (S1: 1 AI-first разработчик + fractional legal/design)</t>
        </is>
      </c>
      <c r="B43" s="4" t="n">
        <v>5500</v>
      </c>
      <c r="C43" s="5" t="inlineStr">
        <is>
          <t>USD/мес — $220/день x 20 дней (см. 08) + ~$1,100 на подрядчиков</t>
        </is>
      </c>
    </row>
    <row r="44">
      <c r="A44" s="3" t="inlineStr">
        <is>
          <t>Infra fixed (hosting, DB, CDN, monitoring, GPU reserved)</t>
        </is>
      </c>
      <c r="B44" s="4" t="n">
        <v>900</v>
      </c>
      <c r="C44" s="5" t="inlineStr">
        <is>
          <t>USD/мес при &lt;10k users</t>
        </is>
      </c>
    </row>
    <row r="45">
      <c r="A45" s="3" t="inlineStr">
        <is>
          <t>Infra fixed scaling step (+ per 10k users)</t>
        </is>
      </c>
      <c r="B45" s="4" t="n">
        <v>350</v>
      </c>
      <c r="C45" s="5" t="inlineStr">
        <is>
          <t>USD/мес добавка на каждые 10k MAU</t>
        </is>
      </c>
    </row>
    <row r="46">
      <c r="A46" s="3" t="inlineStr">
        <is>
          <t>Content moderation / compliance tooling</t>
        </is>
      </c>
      <c r="B46" s="4" t="n">
        <v>300</v>
      </c>
      <c r="C46" s="5" t="inlineStr">
        <is>
          <t>USD/мес</t>
        </is>
      </c>
    </row>
    <row r="47">
      <c r="A47" s="3" t="inlineStr">
        <is>
          <t>Office/admin/legal overhead</t>
        </is>
      </c>
      <c r="B47" s="4" t="n">
        <v>600</v>
      </c>
      <c r="C47" s="5" t="inlineStr">
        <is>
          <t>USD/мес</t>
        </is>
      </c>
    </row>
    <row r="49">
      <c r="A49" s="2" t="inlineStr">
        <is>
          <t>ФИНАНСИРОВАНИЕ / БАЗА</t>
        </is>
      </c>
      <c r="B49" s="2" t="n"/>
      <c r="C49" s="2" t="n"/>
      <c r="D49" s="2" t="n"/>
    </row>
    <row r="50">
      <c r="A50" s="3" t="inlineStr">
        <is>
          <t>Стартовый капитал (seed)</t>
        </is>
      </c>
      <c r="B50" s="4" t="n">
        <v>150000</v>
      </c>
      <c r="C50" s="5" t="inlineStr">
        <is>
          <t>USD — нижняя граница диапазона из ТЗ</t>
        </is>
      </c>
    </row>
    <row r="51">
      <c r="A51" s="3" t="inlineStr">
        <is>
          <t>Курс USD/IDR (справочно)</t>
        </is>
      </c>
      <c r="B51" s="4" t="n">
        <v>16000</v>
      </c>
      <c r="C51" s="5" t="inlineStr">
        <is>
          <t>IDR за 1 USD, июль 2026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48" customWidth="1" min="1" max="1"/>
    <col width="16" customWidth="1" min="2" max="2"/>
  </cols>
  <sheetData>
    <row r="1">
      <c r="A1" s="1" t="inlineStr">
        <is>
          <t>Unit Economics (расчёт по формулам из Assumptions)</t>
        </is>
      </c>
    </row>
    <row r="3">
      <c r="A3" s="3" t="inlineStr">
        <is>
          <t>Blended ARPU (paying user, /mo)</t>
        </is>
      </c>
      <c r="B3" s="6">
        <f>(Assumptions!$B$5*Assumptions!$B$15+Assumptions!$B$7*Assumptions!$B$16+Assumptions!$B$9*Assumptions!$B$17)+(Assumptions!$B$11*Assumptions!$B$19)</f>
        <v/>
      </c>
    </row>
    <row r="4">
      <c r="A4" s="3" t="inlineStr">
        <is>
          <t>Avg token allowance (weighted by tier mix, /mo)</t>
        </is>
      </c>
      <c r="B4" s="6">
        <f>(Assumptions!$B$6*Assumptions!$B$15+Assumptions!$B$8*Assumptions!$B$16+Assumptions!$B$10*Assumptions!$B$17)</f>
        <v/>
      </c>
    </row>
    <row r="5">
      <c r="A5" s="3" t="inlineStr">
        <is>
          <t>Tokens actually consumed /mo (allowance x breakage/utilization)</t>
        </is>
      </c>
      <c r="B5" s="6">
        <f>B4*Assumptions!$B$34</f>
        <v/>
      </c>
    </row>
    <row r="6">
      <c r="A6" s="3" t="inlineStr">
        <is>
          <t>Blended $/token cost (derived from per-generation-type cost &amp; tokens/gen, weighted by token-spend mix)</t>
        </is>
      </c>
      <c r="B6" s="7">
        <f>(Assumptions!$B$22/Assumptions!$B$26)*Assumptions!$B$30+(Assumptions!$B$23/Assumptions!$B$27)*Assumptions!$B$31+(Assumptions!$B$24/Assumptions!$B$28)*Assumptions!$B$32+(Assumptions!$B$25/Assumptions!$B$29)*Assumptions!$B$33</f>
        <v/>
      </c>
    </row>
    <row r="7">
      <c r="A7" s="3" t="inlineStr">
        <is>
          <t>Blended COGS per paying user (/mo) = tokens consumed x $/token + payment fee</t>
        </is>
      </c>
      <c r="B7" s="6">
        <f>B5*B6+B3*Assumptions!$B$35</f>
        <v/>
      </c>
    </row>
    <row r="8">
      <c r="A8" s="3" t="inlineStr">
        <is>
          <t>Gross margin per paying user (USD/mo)</t>
        </is>
      </c>
      <c r="B8" s="6">
        <f>B3-B7</f>
        <v/>
      </c>
    </row>
    <row r="9">
      <c r="A9" s="3" t="inlineStr">
        <is>
          <t>Gross margin %</t>
        </is>
      </c>
      <c r="B9" s="8">
        <f>B8/B3</f>
        <v/>
      </c>
    </row>
    <row r="10">
      <c r="A10" s="3" t="inlineStr">
        <is>
          <t>Monthly churn (paid)</t>
        </is>
      </c>
      <c r="B10" s="8">
        <f>Assumptions!$B$18</f>
        <v/>
      </c>
    </row>
    <row r="11">
      <c r="A11" s="3" t="inlineStr">
        <is>
          <t>Customer lifetime (months)</t>
        </is>
      </c>
      <c r="B11" s="6">
        <f>1/B10</f>
        <v/>
      </c>
    </row>
    <row r="12">
      <c r="A12" s="3" t="inlineStr">
        <is>
          <t>LTV (gross-margin based)</t>
        </is>
      </c>
      <c r="B12" s="6">
        <f>B8*B11</f>
        <v/>
      </c>
    </row>
    <row r="13">
      <c r="A13" s="3" t="inlineStr">
        <is>
          <t>CAC per paying user (blended incl. organic)</t>
        </is>
      </c>
      <c r="B13" s="6">
        <f>Assumptions!$B$39*(1-Assumptions!$B$40)</f>
        <v/>
      </c>
    </row>
    <row r="14">
      <c r="A14" s="3" t="inlineStr">
        <is>
          <t>LTV / CAC</t>
        </is>
      </c>
      <c r="B14" s="6">
        <f>B12/B13</f>
        <v/>
      </c>
    </row>
    <row r="15">
      <c r="A15" s="3" t="inlineStr">
        <is>
          <t>Payback period (months)</t>
        </is>
      </c>
      <c r="B15" s="6">
        <f>B13/B8</f>
        <v/>
      </c>
    </row>
    <row r="17">
      <c r="A17" s="5" t="inlineStr">
        <is>
          <t>Примечание: ARPU/COGS считаются по paying-пользователю. Free-пользователи учтены в Scenarios через conversion rate. Tokens/generation — продуктовое допущение (не факт SYNTX, см. Этап 06), выбрано так, чтобы блендед $/token был внутренне согласован со стоимостями из Этапа 04.</t>
        </is>
      </c>
    </row>
  </sheetData>
  <mergeCells count="2">
    <mergeCell ref="A1:D1"/>
    <mergeCell ref="A17:E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Scenarios by MAU (Monthly Active Users) — все метрики считаются формулами</t>
        </is>
      </c>
    </row>
    <row r="3">
      <c r="A3" s="2" t="inlineStr">
        <is>
          <t>Метрика</t>
        </is>
      </c>
      <c r="B3" s="2" t="inlineStr">
        <is>
          <t>100 MAU</t>
        </is>
      </c>
      <c r="C3" s="2" t="inlineStr">
        <is>
          <t>500 MAU</t>
        </is>
      </c>
      <c r="D3" s="2" t="inlineStr">
        <is>
          <t>1,000 MAU</t>
        </is>
      </c>
      <c r="E3" s="2" t="inlineStr">
        <is>
          <t>5,000 MAU</t>
        </is>
      </c>
      <c r="F3" s="2" t="inlineStr">
        <is>
          <t>10,000 MAU</t>
        </is>
      </c>
      <c r="G3" s="2" t="inlineStr">
        <is>
          <t>50,000 MAU</t>
        </is>
      </c>
      <c r="H3" s="2" t="inlineStr">
        <is>
          <t>100,000 MAU</t>
        </is>
      </c>
    </row>
    <row r="4">
      <c r="A4" s="3" t="inlineStr">
        <is>
          <t>MAU</t>
        </is>
      </c>
      <c r="B4" s="9" t="n">
        <v>100</v>
      </c>
      <c r="C4" s="9" t="n">
        <v>500</v>
      </c>
      <c r="D4" s="9" t="n">
        <v>1000</v>
      </c>
      <c r="E4" s="9" t="n">
        <v>5000</v>
      </c>
      <c r="F4" s="9" t="n">
        <v>10000</v>
      </c>
      <c r="G4" s="9" t="n">
        <v>50000</v>
      </c>
      <c r="H4" s="9" t="n">
        <v>100000</v>
      </c>
    </row>
    <row r="5">
      <c r="A5" s="3" t="inlineStr">
        <is>
          <t>Paying users (= MAU * conversion)</t>
        </is>
      </c>
      <c r="B5" s="9">
        <f>B4*Assumptions!$B$14</f>
        <v/>
      </c>
      <c r="C5" s="9">
        <f>C4*Assumptions!$B$14</f>
        <v/>
      </c>
      <c r="D5" s="9">
        <f>D4*Assumptions!$B$14</f>
        <v/>
      </c>
      <c r="E5" s="9">
        <f>E4*Assumptions!$B$14</f>
        <v/>
      </c>
      <c r="F5" s="9">
        <f>F4*Assumptions!$B$14</f>
        <v/>
      </c>
      <c r="G5" s="9">
        <f>G4*Assumptions!$B$14</f>
        <v/>
      </c>
      <c r="H5" s="9">
        <f>H4*Assumptions!$B$14</f>
        <v/>
      </c>
    </row>
    <row r="6">
      <c r="A6" s="3" t="inlineStr">
        <is>
          <t>MRR (USD)</t>
        </is>
      </c>
      <c r="B6" s="9">
        <f>B5*'Unit Economics'!$B$3</f>
        <v/>
      </c>
      <c r="C6" s="9">
        <f>C5*'Unit Economics'!$B$3</f>
        <v/>
      </c>
      <c r="D6" s="9">
        <f>D5*'Unit Economics'!$B$3</f>
        <v/>
      </c>
      <c r="E6" s="9">
        <f>E5*'Unit Economics'!$B$3</f>
        <v/>
      </c>
      <c r="F6" s="9">
        <f>F5*'Unit Economics'!$B$3</f>
        <v/>
      </c>
      <c r="G6" s="9">
        <f>G5*'Unit Economics'!$B$3</f>
        <v/>
      </c>
      <c r="H6" s="9">
        <f>H5*'Unit Economics'!$B$3</f>
        <v/>
      </c>
    </row>
    <row r="7">
      <c r="A7" s="3" t="inlineStr">
        <is>
          <t>ARR (USD)</t>
        </is>
      </c>
      <c r="B7" s="9">
        <f>B6*12</f>
        <v/>
      </c>
      <c r="C7" s="9">
        <f>C6*12</f>
        <v/>
      </c>
      <c r="D7" s="9">
        <f>D6*12</f>
        <v/>
      </c>
      <c r="E7" s="9">
        <f>E6*12</f>
        <v/>
      </c>
      <c r="F7" s="9">
        <f>F6*12</f>
        <v/>
      </c>
      <c r="G7" s="9">
        <f>G6*12</f>
        <v/>
      </c>
      <c r="H7" s="9">
        <f>H6*12</f>
        <v/>
      </c>
    </row>
    <row r="8">
      <c r="A8" s="3" t="inlineStr">
        <is>
          <t>COGS total (USD/mo)</t>
        </is>
      </c>
      <c r="B8" s="9">
        <f>B5*'Unit Economics'!$B$7</f>
        <v/>
      </c>
      <c r="C8" s="9">
        <f>C5*'Unit Economics'!$B$7</f>
        <v/>
      </c>
      <c r="D8" s="9">
        <f>D5*'Unit Economics'!$B$7</f>
        <v/>
      </c>
      <c r="E8" s="9">
        <f>E5*'Unit Economics'!$B$7</f>
        <v/>
      </c>
      <c r="F8" s="9">
        <f>F5*'Unit Economics'!$B$7</f>
        <v/>
      </c>
      <c r="G8" s="9">
        <f>G5*'Unit Economics'!$B$7</f>
        <v/>
      </c>
      <c r="H8" s="9">
        <f>H5*'Unit Economics'!$B$7</f>
        <v/>
      </c>
    </row>
    <row r="9">
      <c r="A9" s="3" t="inlineStr">
        <is>
          <t>Gross profit (USD/mo)</t>
        </is>
      </c>
      <c r="B9" s="9">
        <f>B6-B8</f>
        <v/>
      </c>
      <c r="C9" s="9">
        <f>C6-C8</f>
        <v/>
      </c>
      <c r="D9" s="9">
        <f>D6-D8</f>
        <v/>
      </c>
      <c r="E9" s="9">
        <f>E6-E8</f>
        <v/>
      </c>
      <c r="F9" s="9">
        <f>F6-F8</f>
        <v/>
      </c>
      <c r="G9" s="9">
        <f>G6-G8</f>
        <v/>
      </c>
      <c r="H9" s="9">
        <f>H6-H8</f>
        <v/>
      </c>
    </row>
    <row r="10">
      <c r="A10" s="3" t="inlineStr">
        <is>
          <t>Gross margin %</t>
        </is>
      </c>
      <c r="B10" s="8">
        <f>B9/B6</f>
        <v/>
      </c>
      <c r="C10" s="8">
        <f>C9/C6</f>
        <v/>
      </c>
      <c r="D10" s="8">
        <f>D9/D6</f>
        <v/>
      </c>
      <c r="E10" s="8">
        <f>E9/E6</f>
        <v/>
      </c>
      <c r="F10" s="8">
        <f>F9/F6</f>
        <v/>
      </c>
      <c r="G10" s="8">
        <f>G9/G6</f>
        <v/>
      </c>
      <c r="H10" s="8">
        <f>H9/H6</f>
        <v/>
      </c>
    </row>
    <row r="11">
      <c r="A11" s="3" t="inlineStr">
        <is>
          <t>Opex fixed (USD/mo)</t>
        </is>
      </c>
      <c r="B11" s="9">
        <f>Assumptions!$B$43+Assumptions!$B$44+Assumptions!$B$45*(B4/10000)+Assumptions!$B$46+Assumptions!$B$47</f>
        <v/>
      </c>
      <c r="C11" s="9">
        <f>Assumptions!$B$43+Assumptions!$B$44+Assumptions!$B$45*(C4/10000)+Assumptions!$B$46+Assumptions!$B$47</f>
        <v/>
      </c>
      <c r="D11" s="9">
        <f>Assumptions!$B$43+Assumptions!$B$44+Assumptions!$B$45*(D4/10000)+Assumptions!$B$46+Assumptions!$B$47</f>
        <v/>
      </c>
      <c r="E11" s="9">
        <f>Assumptions!$B$43+Assumptions!$B$44+Assumptions!$B$45*(E4/10000)+Assumptions!$B$46+Assumptions!$B$47</f>
        <v/>
      </c>
      <c r="F11" s="9">
        <f>Assumptions!$B$43+Assumptions!$B$44+Assumptions!$B$45*(F4/10000)+Assumptions!$B$46+Assumptions!$B$47</f>
        <v/>
      </c>
      <c r="G11" s="9">
        <f>Assumptions!$B$43+Assumptions!$B$44+Assumptions!$B$45*(G4/10000)+Assumptions!$B$46+Assumptions!$B$47</f>
        <v/>
      </c>
      <c r="H11" s="9">
        <f>Assumptions!$B$43+Assumptions!$B$44+Assumptions!$B$45*(H4/10000)+Assumptions!$B$46+Assumptions!$B$47</f>
        <v/>
      </c>
    </row>
    <row r="12">
      <c r="A12" s="3" t="inlineStr">
        <is>
          <t>EBITDA (USD/mo)</t>
        </is>
      </c>
      <c r="B12" s="9">
        <f>B9-B11</f>
        <v/>
      </c>
      <c r="C12" s="9">
        <f>C9-C11</f>
        <v/>
      </c>
      <c r="D12" s="9">
        <f>D9-D11</f>
        <v/>
      </c>
      <c r="E12" s="9">
        <f>E9-E11</f>
        <v/>
      </c>
      <c r="F12" s="9">
        <f>F9-F11</f>
        <v/>
      </c>
      <c r="G12" s="9">
        <f>G9-G11</f>
        <v/>
      </c>
      <c r="H12" s="9">
        <f>H9-H11</f>
        <v/>
      </c>
    </row>
    <row r="13">
      <c r="A13" s="3" t="inlineStr">
        <is>
          <t>EBITDA margin %</t>
        </is>
      </c>
      <c r="B13" s="8">
        <f>B12/B6</f>
        <v/>
      </c>
      <c r="C13" s="8">
        <f>C12/C6</f>
        <v/>
      </c>
      <c r="D13" s="8">
        <f>D12/D6</f>
        <v/>
      </c>
      <c r="E13" s="8">
        <f>E12/E6</f>
        <v/>
      </c>
      <c r="F13" s="8">
        <f>F12/F6</f>
        <v/>
      </c>
      <c r="G13" s="8">
        <f>G12/G6</f>
        <v/>
      </c>
      <c r="H13" s="8">
        <f>H12/H6</f>
        <v/>
      </c>
    </row>
    <row r="14">
      <c r="A14" s="3" t="inlineStr">
        <is>
          <t>Burn rate (USD/mo, if EBITDA&lt;0)</t>
        </is>
      </c>
      <c r="B14" s="9">
        <f>IF(B12&lt;0,-B12,0)</f>
        <v/>
      </c>
      <c r="C14" s="9">
        <f>IF(C12&lt;0,-C12,0)</f>
        <v/>
      </c>
      <c r="D14" s="9">
        <f>IF(D12&lt;0,-D12,0)</f>
        <v/>
      </c>
      <c r="E14" s="9">
        <f>IF(E12&lt;0,-E12,0)</f>
        <v/>
      </c>
      <c r="F14" s="9">
        <f>IF(F12&lt;0,-F12,0)</f>
        <v/>
      </c>
      <c r="G14" s="9">
        <f>IF(G12&lt;0,-G12,0)</f>
        <v/>
      </c>
      <c r="H14" s="9">
        <f>IF(H12&lt;0,-H12,0)</f>
        <v/>
      </c>
    </row>
    <row r="15">
      <c r="A15" s="3" t="inlineStr">
        <is>
          <t>CAC spend needed for new payers this mo (USD, assume 15% of payers are net-new/mo)</t>
        </is>
      </c>
      <c r="B15" s="9">
        <f>B5*0.15*'Unit Economics'!$B$13</f>
        <v/>
      </c>
      <c r="C15" s="9">
        <f>C5*0.15*'Unit Economics'!$B$13</f>
        <v/>
      </c>
      <c r="D15" s="9">
        <f>D5*0.15*'Unit Economics'!$B$13</f>
        <v/>
      </c>
      <c r="E15" s="9">
        <f>E5*0.15*'Unit Economics'!$B$13</f>
        <v/>
      </c>
      <c r="F15" s="9">
        <f>F5*0.15*'Unit Economics'!$B$13</f>
        <v/>
      </c>
      <c r="G15" s="9">
        <f>G5*0.15*'Unit Economics'!$B$13</f>
        <v/>
      </c>
      <c r="H15" s="9">
        <f>H5*0.15*'Unit Economics'!$B$13</f>
        <v/>
      </c>
    </row>
    <row r="16">
      <c r="A16" s="3" t="inlineStr">
        <is>
          <t>LTV (USD)</t>
        </is>
      </c>
      <c r="B16" s="9">
        <f>'Unit Economics'!$B$12</f>
        <v/>
      </c>
      <c r="C16" s="9">
        <f>'Unit Economics'!$B$12</f>
        <v/>
      </c>
      <c r="D16" s="9">
        <f>'Unit Economics'!$B$12</f>
        <v/>
      </c>
      <c r="E16" s="9">
        <f>'Unit Economics'!$B$12</f>
        <v/>
      </c>
      <c r="F16" s="9">
        <f>'Unit Economics'!$B$12</f>
        <v/>
      </c>
      <c r="G16" s="9">
        <f>'Unit Economics'!$B$12</f>
        <v/>
      </c>
      <c r="H16" s="9">
        <f>'Unit Economics'!$B$12</f>
        <v/>
      </c>
    </row>
    <row r="17">
      <c r="A17" s="3" t="inlineStr">
        <is>
          <t>LTV/CAC</t>
        </is>
      </c>
      <c r="B17" s="6">
        <f>'Unit Economics'!$B$14</f>
        <v/>
      </c>
      <c r="C17" s="6">
        <f>'Unit Economics'!$B$14</f>
        <v/>
      </c>
      <c r="D17" s="6">
        <f>'Unit Economics'!$B$14</f>
        <v/>
      </c>
      <c r="E17" s="6">
        <f>'Unit Economics'!$B$14</f>
        <v/>
      </c>
      <c r="F17" s="6">
        <f>'Unit Economics'!$B$14</f>
        <v/>
      </c>
      <c r="G17" s="6">
        <f>'Unit Economics'!$B$14</f>
        <v/>
      </c>
      <c r="H17" s="6">
        <f>'Unit Economics'!$B$14</f>
        <v/>
      </c>
    </row>
    <row r="18">
      <c r="A18" s="3" t="inlineStr">
        <is>
          <t>Payback (months)</t>
        </is>
      </c>
      <c r="B18" s="10">
        <f>'Unit Economics'!$B$15</f>
        <v/>
      </c>
      <c r="C18" s="10">
        <f>'Unit Economics'!$B$15</f>
        <v/>
      </c>
      <c r="D18" s="10">
        <f>'Unit Economics'!$B$15</f>
        <v/>
      </c>
      <c r="E18" s="10">
        <f>'Unit Economics'!$B$15</f>
        <v/>
      </c>
      <c r="F18" s="10">
        <f>'Unit Economics'!$B$15</f>
        <v/>
      </c>
      <c r="G18" s="10">
        <f>'Unit Economics'!$B$15</f>
        <v/>
      </c>
      <c r="H18" s="10">
        <f>'Unit Economics'!$B$15</f>
        <v/>
      </c>
    </row>
    <row r="19">
      <c r="A19" s="3" t="inlineStr">
        <is>
          <t>Break-even MAU (paying-equivalent, static at this Opex level)</t>
        </is>
      </c>
      <c r="B19" s="9">
        <f>B11/'Unit Economics'!$B$8</f>
        <v/>
      </c>
      <c r="C19" s="9">
        <f>C11/'Unit Economics'!$B$8</f>
        <v/>
      </c>
      <c r="D19" s="9">
        <f>D11/'Unit Economics'!$B$8</f>
        <v/>
      </c>
      <c r="E19" s="9">
        <f>E11/'Unit Economics'!$B$8</f>
        <v/>
      </c>
      <c r="F19" s="9">
        <f>F11/'Unit Economics'!$B$8</f>
        <v/>
      </c>
      <c r="G19" s="9">
        <f>G11/'Unit Economics'!$B$8</f>
        <v/>
      </c>
      <c r="H19" s="9">
        <f>H11/'Unit Economics'!$B$8</f>
        <v/>
      </c>
    </row>
    <row r="21">
      <c r="A21" s="5" t="inlineStr">
        <is>
          <t>Break-even MAU здесь — это платящие пользователи, нужные чтобы Gross Profit = Opex ПРИ Opex ЭТОГО столбца (Opex растёт со шкалой инфры/команды, поэтому это не единая точка, а per-scenario ориентир; см. лист 'Break-Even' для динамической кривой).</t>
        </is>
      </c>
    </row>
  </sheetData>
  <mergeCells count="2">
    <mergeCell ref="A1:I1"/>
    <mergeCell ref="A21:H2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5" customWidth="1" min="1" max="1"/>
    <col width="16" customWidth="1" min="2" max="2"/>
  </cols>
  <sheetData>
    <row r="1">
      <c r="A1" s="1" t="inlineStr">
        <is>
          <t>Точка безубыточности — статическая модель (Opex зафиксирован на уровне MVP-команды S2)</t>
        </is>
      </c>
    </row>
    <row r="3">
      <c r="A3" s="3" t="inlineStr">
        <is>
          <t>Fixed Opex (MVP baseline, USD/mo)</t>
        </is>
      </c>
      <c r="B3" s="9">
        <f>Assumptions!$B$43+Assumptions!$B$44+Assumptions!$B$46+Assumptions!$B$47</f>
        <v/>
      </c>
    </row>
    <row r="4">
      <c r="A4" s="3" t="inlineStr">
        <is>
          <t>Gross margin per paying user (USD/mo)</t>
        </is>
      </c>
      <c r="B4" s="6">
        <f>'Unit Economics'!$B$8</f>
        <v/>
      </c>
    </row>
    <row r="5">
      <c r="A5" s="3" t="inlineStr">
        <is>
          <t>Break-even paying users</t>
        </is>
      </c>
      <c r="B5" s="9">
        <f>B3/B4</f>
        <v/>
      </c>
    </row>
    <row r="6">
      <c r="A6" s="3" t="inlineStr">
        <is>
          <t>Break-even MAU (при текущем conversion rate)</t>
        </is>
      </c>
      <c r="B6" s="9">
        <f>B5/Assumptions!$B$14</f>
        <v/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15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</cols>
  <sheetData>
    <row r="1">
      <c r="A1" s="1" t="inlineStr">
        <is>
          <t>Помесячный Cash Flow — 24 месяца (рост MAU задаётся кривой ниже, редактируемо)</t>
        </is>
      </c>
    </row>
    <row r="3">
      <c r="A3" t="inlineStr">
        <is>
          <t>Starting cash (seed)</t>
        </is>
      </c>
      <c r="B3" s="11">
        <f>Assumptions!$B$50</f>
        <v/>
      </c>
    </row>
    <row r="5">
      <c r="A5" s="2" t="inlineStr">
        <is>
          <t>Месяц</t>
        </is>
      </c>
      <c r="B5" s="2" t="n">
        <v>1</v>
      </c>
      <c r="C5" s="2" t="n">
        <v>2</v>
      </c>
      <c r="D5" s="2" t="n">
        <v>3</v>
      </c>
      <c r="E5" s="2" t="n">
        <v>4</v>
      </c>
      <c r="F5" s="2" t="n">
        <v>5</v>
      </c>
      <c r="G5" s="2" t="n">
        <v>6</v>
      </c>
      <c r="H5" s="2" t="n">
        <v>7</v>
      </c>
      <c r="I5" s="2" t="n">
        <v>8</v>
      </c>
      <c r="J5" s="2" t="n">
        <v>9</v>
      </c>
      <c r="K5" s="2" t="n">
        <v>10</v>
      </c>
      <c r="L5" s="2" t="n">
        <v>11</v>
      </c>
      <c r="M5" s="2" t="n">
        <v>12</v>
      </c>
      <c r="N5" s="2" t="n">
        <v>13</v>
      </c>
      <c r="O5" s="2" t="n">
        <v>14</v>
      </c>
      <c r="P5" s="2" t="n">
        <v>15</v>
      </c>
      <c r="Q5" s="2" t="n">
        <v>16</v>
      </c>
      <c r="R5" s="2" t="n">
        <v>17</v>
      </c>
      <c r="S5" s="2" t="n">
        <v>18</v>
      </c>
      <c r="T5" s="2" t="n">
        <v>19</v>
      </c>
      <c r="U5" s="2" t="n">
        <v>20</v>
      </c>
      <c r="V5" s="2" t="n">
        <v>21</v>
      </c>
      <c r="W5" s="2" t="n">
        <v>22</v>
      </c>
      <c r="X5" s="2" t="n">
        <v>23</v>
      </c>
      <c r="Y5" s="2" t="n">
        <v>24</v>
      </c>
    </row>
    <row r="6">
      <c r="A6" s="3" t="inlineStr">
        <is>
          <t>MAU (input — редактируемо)</t>
        </is>
      </c>
      <c r="B6" s="4" t="n">
        <v>100</v>
      </c>
      <c r="C6" s="4" t="n">
        <v>250</v>
      </c>
      <c r="D6" s="4" t="n">
        <v>500</v>
      </c>
      <c r="E6" s="4" t="n">
        <v>800</v>
      </c>
      <c r="F6" s="4" t="n">
        <v>1200</v>
      </c>
      <c r="G6" s="4" t="n">
        <v>1800</v>
      </c>
      <c r="H6" s="4" t="n">
        <v>2600</v>
      </c>
      <c r="I6" s="4" t="n">
        <v>3600</v>
      </c>
      <c r="J6" s="4" t="n">
        <v>5000</v>
      </c>
      <c r="K6" s="4" t="n">
        <v>6500</v>
      </c>
      <c r="L6" s="4" t="n">
        <v>8200</v>
      </c>
      <c r="M6" s="4" t="n">
        <v>10000</v>
      </c>
      <c r="N6" s="4" t="n">
        <v>13000</v>
      </c>
      <c r="O6" s="4" t="n">
        <v>16500</v>
      </c>
      <c r="P6" s="4" t="n">
        <v>20500</v>
      </c>
      <c r="Q6" s="4" t="n">
        <v>25000</v>
      </c>
      <c r="R6" s="4" t="n">
        <v>30500</v>
      </c>
      <c r="S6" s="4" t="n">
        <v>36500</v>
      </c>
      <c r="T6" s="4" t="n">
        <v>43000</v>
      </c>
      <c r="U6" s="4" t="n">
        <v>50000</v>
      </c>
      <c r="V6" s="4" t="n">
        <v>58000</v>
      </c>
      <c r="W6" s="4" t="n">
        <v>67000</v>
      </c>
      <c r="X6" s="4" t="n">
        <v>78000</v>
      </c>
      <c r="Y6" s="4" t="n">
        <v>100000</v>
      </c>
    </row>
    <row r="7">
      <c r="A7" s="3" t="inlineStr">
        <is>
          <t>Paying users</t>
        </is>
      </c>
      <c r="B7" s="9">
        <f>B6*Assumptions!$B$14</f>
        <v/>
      </c>
      <c r="C7" s="9">
        <f>C6*Assumptions!$B$14</f>
        <v/>
      </c>
      <c r="D7" s="9">
        <f>D6*Assumptions!$B$14</f>
        <v/>
      </c>
      <c r="E7" s="9">
        <f>E6*Assumptions!$B$14</f>
        <v/>
      </c>
      <c r="F7" s="9">
        <f>F6*Assumptions!$B$14</f>
        <v/>
      </c>
      <c r="G7" s="9">
        <f>G6*Assumptions!$B$14</f>
        <v/>
      </c>
      <c r="H7" s="9">
        <f>H6*Assumptions!$B$14</f>
        <v/>
      </c>
      <c r="I7" s="9">
        <f>I6*Assumptions!$B$14</f>
        <v/>
      </c>
      <c r="J7" s="9">
        <f>J6*Assumptions!$B$14</f>
        <v/>
      </c>
      <c r="K7" s="9">
        <f>K6*Assumptions!$B$14</f>
        <v/>
      </c>
      <c r="L7" s="9">
        <f>L6*Assumptions!$B$14</f>
        <v/>
      </c>
      <c r="M7" s="9">
        <f>M6*Assumptions!$B$14</f>
        <v/>
      </c>
      <c r="N7" s="9">
        <f>N6*Assumptions!$B$14</f>
        <v/>
      </c>
      <c r="O7" s="9">
        <f>O6*Assumptions!$B$14</f>
        <v/>
      </c>
      <c r="P7" s="9">
        <f>P6*Assumptions!$B$14</f>
        <v/>
      </c>
      <c r="Q7" s="9">
        <f>Q6*Assumptions!$B$14</f>
        <v/>
      </c>
      <c r="R7" s="9">
        <f>R6*Assumptions!$B$14</f>
        <v/>
      </c>
      <c r="S7" s="9">
        <f>S6*Assumptions!$B$14</f>
        <v/>
      </c>
      <c r="T7" s="9">
        <f>T6*Assumptions!$B$14</f>
        <v/>
      </c>
      <c r="U7" s="9">
        <f>U6*Assumptions!$B$14</f>
        <v/>
      </c>
      <c r="V7" s="9">
        <f>V6*Assumptions!$B$14</f>
        <v/>
      </c>
      <c r="W7" s="9">
        <f>W6*Assumptions!$B$14</f>
        <v/>
      </c>
      <c r="X7" s="9">
        <f>X6*Assumptions!$B$14</f>
        <v/>
      </c>
      <c r="Y7" s="9">
        <f>Y6*Assumptions!$B$14</f>
        <v/>
      </c>
    </row>
    <row r="8">
      <c r="A8" s="3" t="inlineStr">
        <is>
          <t>MRR</t>
        </is>
      </c>
      <c r="B8" s="9">
        <f>B7*'Unit Economics'!$B$3</f>
        <v/>
      </c>
      <c r="C8" s="9">
        <f>C7*'Unit Economics'!$B$3</f>
        <v/>
      </c>
      <c r="D8" s="9">
        <f>D7*'Unit Economics'!$B$3</f>
        <v/>
      </c>
      <c r="E8" s="9">
        <f>E7*'Unit Economics'!$B$3</f>
        <v/>
      </c>
      <c r="F8" s="9">
        <f>F7*'Unit Economics'!$B$3</f>
        <v/>
      </c>
      <c r="G8" s="9">
        <f>G7*'Unit Economics'!$B$3</f>
        <v/>
      </c>
      <c r="H8" s="9">
        <f>H7*'Unit Economics'!$B$3</f>
        <v/>
      </c>
      <c r="I8" s="9">
        <f>I7*'Unit Economics'!$B$3</f>
        <v/>
      </c>
      <c r="J8" s="9">
        <f>J7*'Unit Economics'!$B$3</f>
        <v/>
      </c>
      <c r="K8" s="9">
        <f>K7*'Unit Economics'!$B$3</f>
        <v/>
      </c>
      <c r="L8" s="9">
        <f>L7*'Unit Economics'!$B$3</f>
        <v/>
      </c>
      <c r="M8" s="9">
        <f>M7*'Unit Economics'!$B$3</f>
        <v/>
      </c>
      <c r="N8" s="9">
        <f>N7*'Unit Economics'!$B$3</f>
        <v/>
      </c>
      <c r="O8" s="9">
        <f>O7*'Unit Economics'!$B$3</f>
        <v/>
      </c>
      <c r="P8" s="9">
        <f>P7*'Unit Economics'!$B$3</f>
        <v/>
      </c>
      <c r="Q8" s="9">
        <f>Q7*'Unit Economics'!$B$3</f>
        <v/>
      </c>
      <c r="R8" s="9">
        <f>R7*'Unit Economics'!$B$3</f>
        <v/>
      </c>
      <c r="S8" s="9">
        <f>S7*'Unit Economics'!$B$3</f>
        <v/>
      </c>
      <c r="T8" s="9">
        <f>T7*'Unit Economics'!$B$3</f>
        <v/>
      </c>
      <c r="U8" s="9">
        <f>U7*'Unit Economics'!$B$3</f>
        <v/>
      </c>
      <c r="V8" s="9">
        <f>V7*'Unit Economics'!$B$3</f>
        <v/>
      </c>
      <c r="W8" s="9">
        <f>W7*'Unit Economics'!$B$3</f>
        <v/>
      </c>
      <c r="X8" s="9">
        <f>X7*'Unit Economics'!$B$3</f>
        <v/>
      </c>
      <c r="Y8" s="9">
        <f>Y7*'Unit Economics'!$B$3</f>
        <v/>
      </c>
    </row>
    <row r="9">
      <c r="A9" s="3" t="inlineStr">
        <is>
          <t>COGS</t>
        </is>
      </c>
      <c r="B9" s="9">
        <f>B7*'Unit Economics'!$B$7</f>
        <v/>
      </c>
      <c r="C9" s="9">
        <f>C7*'Unit Economics'!$B$7</f>
        <v/>
      </c>
      <c r="D9" s="9">
        <f>D7*'Unit Economics'!$B$7</f>
        <v/>
      </c>
      <c r="E9" s="9">
        <f>E7*'Unit Economics'!$B$7</f>
        <v/>
      </c>
      <c r="F9" s="9">
        <f>F7*'Unit Economics'!$B$7</f>
        <v/>
      </c>
      <c r="G9" s="9">
        <f>G7*'Unit Economics'!$B$7</f>
        <v/>
      </c>
      <c r="H9" s="9">
        <f>H7*'Unit Economics'!$B$7</f>
        <v/>
      </c>
      <c r="I9" s="9">
        <f>I7*'Unit Economics'!$B$7</f>
        <v/>
      </c>
      <c r="J9" s="9">
        <f>J7*'Unit Economics'!$B$7</f>
        <v/>
      </c>
      <c r="K9" s="9">
        <f>K7*'Unit Economics'!$B$7</f>
        <v/>
      </c>
      <c r="L9" s="9">
        <f>L7*'Unit Economics'!$B$7</f>
        <v/>
      </c>
      <c r="M9" s="9">
        <f>M7*'Unit Economics'!$B$7</f>
        <v/>
      </c>
      <c r="N9" s="9">
        <f>N7*'Unit Economics'!$B$7</f>
        <v/>
      </c>
      <c r="O9" s="9">
        <f>O7*'Unit Economics'!$B$7</f>
        <v/>
      </c>
      <c r="P9" s="9">
        <f>P7*'Unit Economics'!$B$7</f>
        <v/>
      </c>
      <c r="Q9" s="9">
        <f>Q7*'Unit Economics'!$B$7</f>
        <v/>
      </c>
      <c r="R9" s="9">
        <f>R7*'Unit Economics'!$B$7</f>
        <v/>
      </c>
      <c r="S9" s="9">
        <f>S7*'Unit Economics'!$B$7</f>
        <v/>
      </c>
      <c r="T9" s="9">
        <f>T7*'Unit Economics'!$B$7</f>
        <v/>
      </c>
      <c r="U9" s="9">
        <f>U7*'Unit Economics'!$B$7</f>
        <v/>
      </c>
      <c r="V9" s="9">
        <f>V7*'Unit Economics'!$B$7</f>
        <v/>
      </c>
      <c r="W9" s="9">
        <f>W7*'Unit Economics'!$B$7</f>
        <v/>
      </c>
      <c r="X9" s="9">
        <f>X7*'Unit Economics'!$B$7</f>
        <v/>
      </c>
      <c r="Y9" s="9">
        <f>Y7*'Unit Economics'!$B$7</f>
        <v/>
      </c>
    </row>
    <row r="10">
      <c r="A10" s="3" t="inlineStr">
        <is>
          <t>Gross Profit</t>
        </is>
      </c>
      <c r="B10" s="9">
        <f>B8-B9</f>
        <v/>
      </c>
      <c r="C10" s="9">
        <f>C8-C9</f>
        <v/>
      </c>
      <c r="D10" s="9">
        <f>D8-D9</f>
        <v/>
      </c>
      <c r="E10" s="9">
        <f>E8-E9</f>
        <v/>
      </c>
      <c r="F10" s="9">
        <f>F8-F9</f>
        <v/>
      </c>
      <c r="G10" s="9">
        <f>G8-G9</f>
        <v/>
      </c>
      <c r="H10" s="9">
        <f>H8-H9</f>
        <v/>
      </c>
      <c r="I10" s="9">
        <f>I8-I9</f>
        <v/>
      </c>
      <c r="J10" s="9">
        <f>J8-J9</f>
        <v/>
      </c>
      <c r="K10" s="9">
        <f>K8-K9</f>
        <v/>
      </c>
      <c r="L10" s="9">
        <f>L8-L9</f>
        <v/>
      </c>
      <c r="M10" s="9">
        <f>M8-M9</f>
        <v/>
      </c>
      <c r="N10" s="9">
        <f>N8-N9</f>
        <v/>
      </c>
      <c r="O10" s="9">
        <f>O8-O9</f>
        <v/>
      </c>
      <c r="P10" s="9">
        <f>P8-P9</f>
        <v/>
      </c>
      <c r="Q10" s="9">
        <f>Q8-Q9</f>
        <v/>
      </c>
      <c r="R10" s="9">
        <f>R8-R9</f>
        <v/>
      </c>
      <c r="S10" s="9">
        <f>S8-S9</f>
        <v/>
      </c>
      <c r="T10" s="9">
        <f>T8-T9</f>
        <v/>
      </c>
      <c r="U10" s="9">
        <f>U8-U9</f>
        <v/>
      </c>
      <c r="V10" s="9">
        <f>V8-V9</f>
        <v/>
      </c>
      <c r="W10" s="9">
        <f>W8-W9</f>
        <v/>
      </c>
      <c r="X10" s="9">
        <f>X8-X9</f>
        <v/>
      </c>
      <c r="Y10" s="9">
        <f>Y8-Y9</f>
        <v/>
      </c>
    </row>
    <row r="11">
      <c r="A11" s="3" t="inlineStr">
        <is>
          <t>Opex</t>
        </is>
      </c>
      <c r="B11" s="9">
        <f>Assumptions!$B$43+Assumptions!$B$44+Assumptions!$B$45*(B6/10000)+Assumptions!$B$46+Assumptions!$B$47</f>
        <v/>
      </c>
      <c r="C11" s="9">
        <f>Assumptions!$B$43+Assumptions!$B$44+Assumptions!$B$45*(C6/10000)+Assumptions!$B$46+Assumptions!$B$47</f>
        <v/>
      </c>
      <c r="D11" s="9">
        <f>Assumptions!$B$43+Assumptions!$B$44+Assumptions!$B$45*(D6/10000)+Assumptions!$B$46+Assumptions!$B$47</f>
        <v/>
      </c>
      <c r="E11" s="9">
        <f>Assumptions!$B$43+Assumptions!$B$44+Assumptions!$B$45*(E6/10000)+Assumptions!$B$46+Assumptions!$B$47</f>
        <v/>
      </c>
      <c r="F11" s="9">
        <f>Assumptions!$B$43+Assumptions!$B$44+Assumptions!$B$45*(F6/10000)+Assumptions!$B$46+Assumptions!$B$47</f>
        <v/>
      </c>
      <c r="G11" s="9">
        <f>Assumptions!$B$43+Assumptions!$B$44+Assumptions!$B$45*(G6/10000)+Assumptions!$B$46+Assumptions!$B$47</f>
        <v/>
      </c>
      <c r="H11" s="9">
        <f>Assumptions!$B$43+Assumptions!$B$44+Assumptions!$B$45*(H6/10000)+Assumptions!$B$46+Assumptions!$B$47</f>
        <v/>
      </c>
      <c r="I11" s="9">
        <f>Assumptions!$B$43+Assumptions!$B$44+Assumptions!$B$45*(I6/10000)+Assumptions!$B$46+Assumptions!$B$47</f>
        <v/>
      </c>
      <c r="J11" s="9">
        <f>Assumptions!$B$43+Assumptions!$B$44+Assumptions!$B$45*(J6/10000)+Assumptions!$B$46+Assumptions!$B$47</f>
        <v/>
      </c>
      <c r="K11" s="9">
        <f>Assumptions!$B$43+Assumptions!$B$44+Assumptions!$B$45*(K6/10000)+Assumptions!$B$46+Assumptions!$B$47</f>
        <v/>
      </c>
      <c r="L11" s="9">
        <f>Assumptions!$B$43+Assumptions!$B$44+Assumptions!$B$45*(L6/10000)+Assumptions!$B$46+Assumptions!$B$47</f>
        <v/>
      </c>
      <c r="M11" s="9">
        <f>Assumptions!$B$43+Assumptions!$B$44+Assumptions!$B$45*(M6/10000)+Assumptions!$B$46+Assumptions!$B$47</f>
        <v/>
      </c>
      <c r="N11" s="9">
        <f>Assumptions!$B$43+Assumptions!$B$44+Assumptions!$B$45*(N6/10000)+Assumptions!$B$46+Assumptions!$B$47</f>
        <v/>
      </c>
      <c r="O11" s="9">
        <f>Assumptions!$B$43+Assumptions!$B$44+Assumptions!$B$45*(O6/10000)+Assumptions!$B$46+Assumptions!$B$47</f>
        <v/>
      </c>
      <c r="P11" s="9">
        <f>Assumptions!$B$43+Assumptions!$B$44+Assumptions!$B$45*(P6/10000)+Assumptions!$B$46+Assumptions!$B$47</f>
        <v/>
      </c>
      <c r="Q11" s="9">
        <f>Assumptions!$B$43+Assumptions!$B$44+Assumptions!$B$45*(Q6/10000)+Assumptions!$B$46+Assumptions!$B$47</f>
        <v/>
      </c>
      <c r="R11" s="9">
        <f>Assumptions!$B$43+Assumptions!$B$44+Assumptions!$B$45*(R6/10000)+Assumptions!$B$46+Assumptions!$B$47</f>
        <v/>
      </c>
      <c r="S11" s="9">
        <f>Assumptions!$B$43+Assumptions!$B$44+Assumptions!$B$45*(S6/10000)+Assumptions!$B$46+Assumptions!$B$47</f>
        <v/>
      </c>
      <c r="T11" s="9">
        <f>Assumptions!$B$43+Assumptions!$B$44+Assumptions!$B$45*(T6/10000)+Assumptions!$B$46+Assumptions!$B$47</f>
        <v/>
      </c>
      <c r="U11" s="9">
        <f>Assumptions!$B$43+Assumptions!$B$44+Assumptions!$B$45*(U6/10000)+Assumptions!$B$46+Assumptions!$B$47</f>
        <v/>
      </c>
      <c r="V11" s="9">
        <f>Assumptions!$B$43+Assumptions!$B$44+Assumptions!$B$45*(V6/10000)+Assumptions!$B$46+Assumptions!$B$47</f>
        <v/>
      </c>
      <c r="W11" s="9">
        <f>Assumptions!$B$43+Assumptions!$B$44+Assumptions!$B$45*(W6/10000)+Assumptions!$B$46+Assumptions!$B$47</f>
        <v/>
      </c>
      <c r="X11" s="9">
        <f>Assumptions!$B$43+Assumptions!$B$44+Assumptions!$B$45*(X6/10000)+Assumptions!$B$46+Assumptions!$B$47</f>
        <v/>
      </c>
      <c r="Y11" s="9">
        <f>Assumptions!$B$43+Assumptions!$B$44+Assumptions!$B$45*(Y6/10000)+Assumptions!$B$46+Assumptions!$B$47</f>
        <v/>
      </c>
    </row>
    <row r="12">
      <c r="A12" s="3" t="inlineStr">
        <is>
          <t>EBITDA</t>
        </is>
      </c>
      <c r="B12" s="9">
        <f>B10-B11</f>
        <v/>
      </c>
      <c r="C12" s="9">
        <f>C10-C11</f>
        <v/>
      </c>
      <c r="D12" s="9">
        <f>D10-D11</f>
        <v/>
      </c>
      <c r="E12" s="9">
        <f>E10-E11</f>
        <v/>
      </c>
      <c r="F12" s="9">
        <f>F10-F11</f>
        <v/>
      </c>
      <c r="G12" s="9">
        <f>G10-G11</f>
        <v/>
      </c>
      <c r="H12" s="9">
        <f>H10-H11</f>
        <v/>
      </c>
      <c r="I12" s="9">
        <f>I10-I11</f>
        <v/>
      </c>
      <c r="J12" s="9">
        <f>J10-J11</f>
        <v/>
      </c>
      <c r="K12" s="9">
        <f>K10-K11</f>
        <v/>
      </c>
      <c r="L12" s="9">
        <f>L10-L11</f>
        <v/>
      </c>
      <c r="M12" s="9">
        <f>M10-M11</f>
        <v/>
      </c>
      <c r="N12" s="9">
        <f>N10-N11</f>
        <v/>
      </c>
      <c r="O12" s="9">
        <f>O10-O11</f>
        <v/>
      </c>
      <c r="P12" s="9">
        <f>P10-P11</f>
        <v/>
      </c>
      <c r="Q12" s="9">
        <f>Q10-Q11</f>
        <v/>
      </c>
      <c r="R12" s="9">
        <f>R10-R11</f>
        <v/>
      </c>
      <c r="S12" s="9">
        <f>S10-S11</f>
        <v/>
      </c>
      <c r="T12" s="9">
        <f>T10-T11</f>
        <v/>
      </c>
      <c r="U12" s="9">
        <f>U10-U11</f>
        <v/>
      </c>
      <c r="V12" s="9">
        <f>V10-V11</f>
        <v/>
      </c>
      <c r="W12" s="9">
        <f>W10-W11</f>
        <v/>
      </c>
      <c r="X12" s="9">
        <f>X10-X11</f>
        <v/>
      </c>
      <c r="Y12" s="9">
        <f>Y10-Y11</f>
        <v/>
      </c>
    </row>
    <row r="13">
      <c r="A13" s="3" t="inlineStr">
        <is>
          <t>Cumulative Cash</t>
        </is>
      </c>
      <c r="B13" s="9">
        <f>B3+B12</f>
        <v/>
      </c>
      <c r="C13" s="9">
        <f>B13+C12</f>
        <v/>
      </c>
      <c r="D13" s="9">
        <f>C13+D12</f>
        <v/>
      </c>
      <c r="E13" s="9">
        <f>D13+E12</f>
        <v/>
      </c>
      <c r="F13" s="9">
        <f>E13+F12</f>
        <v/>
      </c>
      <c r="G13" s="9">
        <f>F13+G12</f>
        <v/>
      </c>
      <c r="H13" s="9">
        <f>G13+H12</f>
        <v/>
      </c>
      <c r="I13" s="9">
        <f>H13+I12</f>
        <v/>
      </c>
      <c r="J13" s="9">
        <f>I13+J12</f>
        <v/>
      </c>
      <c r="K13" s="9">
        <f>J13+K12</f>
        <v/>
      </c>
      <c r="L13" s="9">
        <f>K13+L12</f>
        <v/>
      </c>
      <c r="M13" s="9">
        <f>L13+M12</f>
        <v/>
      </c>
      <c r="N13" s="9">
        <f>M13+N12</f>
        <v/>
      </c>
      <c r="O13" s="9">
        <f>N13+O12</f>
        <v/>
      </c>
      <c r="P13" s="9">
        <f>O13+P12</f>
        <v/>
      </c>
      <c r="Q13" s="9">
        <f>P13+Q12</f>
        <v/>
      </c>
      <c r="R13" s="9">
        <f>Q13+R12</f>
        <v/>
      </c>
      <c r="S13" s="9">
        <f>R13+S12</f>
        <v/>
      </c>
      <c r="T13" s="9">
        <f>S13+T12</f>
        <v/>
      </c>
      <c r="U13" s="9">
        <f>T13+U12</f>
        <v/>
      </c>
      <c r="V13" s="9">
        <f>U13+V12</f>
        <v/>
      </c>
      <c r="W13" s="9">
        <f>V13+W12</f>
        <v/>
      </c>
      <c r="X13" s="9">
        <f>W13+X12</f>
        <v/>
      </c>
      <c r="Y13" s="9">
        <f>X13+Y12</f>
        <v/>
      </c>
    </row>
    <row r="15">
      <c r="A15" s="5" t="inlineStr">
        <is>
          <t>MAU-кривая — иллюстративный сценарий S-curve до 100k MAU за 24 мес.; каждая жёлтая ячейка редактируема для стресс-теста.</t>
        </is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2026-07-11T22:46:40Z</dcterms:created>
  <dcterms:modified xsi:type="dcterms:W3CDTF">2026-07-11T22:46:40Z</dcterms:modified>
</cp:coreProperties>
</file>