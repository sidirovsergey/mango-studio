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dules" sheetId="2" state="visible" r:id="rId2"/>
    <sheet name="Team 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sz val="14"/>
    </font>
    <font>
      <color rgb="007A5C00"/>
    </font>
    <font>
      <i val="1"/>
      <color rgb="006B7280"/>
      <sz val="9"/>
    </font>
    <font>
      <b val="1"/>
      <color rgb="00FFFFFF"/>
      <sz val="11"/>
    </font>
    <font>
      <color rgb="001D4ED8"/>
    </font>
    <font>
      <b val="1"/>
    </font>
    <font>
      <b val="1"/>
      <color rgb="001D4ED8"/>
    </font>
  </fonts>
  <fills count="4">
    <fill>
      <patternFill/>
    </fill>
    <fill>
      <patternFill patternType="gray125"/>
    </fill>
    <fill>
      <patternFill patternType="solid">
        <fgColor rgb="00FFF9DB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3" borderId="1" pivotButton="0" quotePrefix="0" xfId="0"/>
    <xf numFmtId="3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3" fontId="7" fillId="0" borderId="1" pivotButton="0" quotePrefix="0" xfId="0"/>
    <xf numFmtId="0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45" customWidth="1" min="3" max="3"/>
  </cols>
  <sheetData>
    <row r="1">
      <c r="A1" s="1" t="inlineStr">
        <is>
          <t>Dev Cost Estimate — Assumptions (жёлтое — редактируемо)</t>
        </is>
      </c>
    </row>
    <row r="3">
      <c r="A3" s="2" t="inlineStr">
        <is>
          <t>Effective AI-first дней в месяце на 1 разработчика</t>
        </is>
      </c>
      <c r="B3" s="3" t="n">
        <v>20</v>
      </c>
      <c r="C3" s="4" t="inlineStr">
        <is>
          <t>дней</t>
        </is>
      </c>
    </row>
    <row r="4">
      <c r="A4" s="2" t="inlineStr">
        <is>
          <t>Дневная ставка AI-first разработчика (S1/S2, включая AI-инструменты)</t>
        </is>
      </c>
      <c r="B4" s="3" t="n">
        <v>220</v>
      </c>
      <c r="C4" s="4" t="inlineStr">
        <is>
          <t>USD/день, ориентир на РФ/СНГ remote-рынок 2026</t>
        </is>
      </c>
    </row>
    <row r="5">
      <c r="A5" s="2" t="inlineStr">
        <is>
          <t>Дневная ставка для S3 (команда, средневзвешенная по ролям)</t>
        </is>
      </c>
      <c r="B5" s="3" t="n">
        <v>200</v>
      </c>
      <c r="C5" s="4" t="inlineStr">
        <is>
          <t>USD/день</t>
        </is>
      </c>
    </row>
    <row r="6">
      <c r="A6" s="2" t="inlineStr">
        <is>
          <t>Множитель скорости S1 (соло)</t>
        </is>
      </c>
      <c r="B6" s="3" t="n">
        <v>1</v>
      </c>
      <c r="C6" s="4" t="inlineStr">
        <is>
          <t>x</t>
        </is>
      </c>
    </row>
    <row r="7">
      <c r="A7" s="2" t="inlineStr">
        <is>
          <t>Множитель скорости S2 (2 разработчика)</t>
        </is>
      </c>
      <c r="B7" s="3" t="n">
        <v>1.6</v>
      </c>
      <c r="C7" s="4" t="inlineStr">
        <is>
          <t>x</t>
        </is>
      </c>
    </row>
    <row r="8">
      <c r="A8" s="2" t="inlineStr">
        <is>
          <t>Множитель скорости S3 (команда 4-5 чел.)</t>
        </is>
      </c>
      <c r="B8" s="3" t="n">
        <v>2.8</v>
      </c>
      <c r="C8" s="4" t="inlineStr">
        <is>
          <t>x</t>
        </is>
      </c>
    </row>
    <row r="9">
      <c r="A9" s="2" t="inlineStr">
        <is>
          <t>Кол-во кодящих FTE в S3</t>
        </is>
      </c>
      <c r="B9" s="3" t="n">
        <v>2.8</v>
      </c>
      <c r="C9" s="4" t="inlineStr">
        <is>
          <t>FTE-эквивалент, см. 08-roadmap.md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  <col width="16" customWidth="1" min="7" max="7"/>
  </cols>
  <sheetData>
    <row r="1">
      <c r="A1" s="1" t="inlineStr">
        <is>
          <t>Смета по модулям (AI-дни, соло-эквивалент) — источник: 08-roadmap.md §8.2</t>
        </is>
      </c>
    </row>
    <row r="3">
      <c r="A3" s="5" t="inlineStr">
        <is>
          <t>Модуль</t>
        </is>
      </c>
      <c r="B3" s="5" t="inlineStr">
        <is>
          <t>Мин. (AI-дни)</t>
        </is>
      </c>
      <c r="C3" s="5" t="inlineStr">
        <is>
          <t>Реалистично (AI-дни)</t>
        </is>
      </c>
      <c r="D3" s="5" t="inlineStr">
        <is>
          <t>Пессимистично (AI-дни)</t>
        </is>
      </c>
      <c r="E3" s="5" t="inlineStr">
        <is>
          <t>Мин. (USD, S1)</t>
        </is>
      </c>
      <c r="F3" s="5" t="inlineStr">
        <is>
          <t>Реалистично (USD, S1)</t>
        </is>
      </c>
      <c r="G3" s="5" t="inlineStr">
        <is>
          <t>Пессимистично (USD, S1)</t>
        </is>
      </c>
    </row>
    <row r="4">
      <c r="A4" s="2" t="inlineStr">
        <is>
          <t>Инфраструктура проекта (monorepo, CI/CD, окружения)</t>
        </is>
      </c>
      <c r="B4" s="2" t="n">
        <v>2</v>
      </c>
      <c r="C4" s="2" t="n">
        <v>4</v>
      </c>
      <c r="D4" s="2" t="n">
        <v>7</v>
      </c>
      <c r="E4" s="6">
        <f>B4*Assumptions!$B$4</f>
        <v/>
      </c>
      <c r="F4" s="6">
        <f>C4*Assumptions!$B$4</f>
        <v/>
      </c>
      <c r="G4" s="6">
        <f>D4*Assumptions!$B$4</f>
        <v/>
      </c>
    </row>
    <row r="5">
      <c r="A5" s="2" t="inlineStr">
        <is>
          <t>Auth (Telegram initData + опц. web OTP)</t>
        </is>
      </c>
      <c r="B5" s="2" t="n">
        <v>2</v>
      </c>
      <c r="C5" s="2" t="n">
        <v>4</v>
      </c>
      <c r="D5" s="2" t="n">
        <v>8</v>
      </c>
      <c r="E5" s="6">
        <f>B5*Assumptions!$B$4</f>
        <v/>
      </c>
      <c r="F5" s="6">
        <f>C5*Assumptions!$B$4</f>
        <v/>
      </c>
      <c r="G5" s="6">
        <f>D5*Assumptions!$B$4</f>
        <v/>
      </c>
    </row>
    <row r="6">
      <c r="A6" s="2" t="inlineStr">
        <is>
          <t>Wallet &amp; Billing ledger (hold/commit/refund, idempotency)</t>
        </is>
      </c>
      <c r="B6" s="2" t="n">
        <v>3</v>
      </c>
      <c r="C6" s="2" t="n">
        <v>6</v>
      </c>
      <c r="D6" s="2" t="n">
        <v>12</v>
      </c>
      <c r="E6" s="6">
        <f>B6*Assumptions!$B$4</f>
        <v/>
      </c>
      <c r="F6" s="6">
        <f>C6*Assumptions!$B$4</f>
        <v/>
      </c>
      <c r="G6" s="6">
        <f>D6*Assumptions!$B$4</f>
        <v/>
      </c>
    </row>
    <row r="7">
      <c r="A7" s="2" t="inlineStr">
        <is>
          <t>Платёжная интеграция (Midtrans/Xendit, QRIS, e-wallets)</t>
        </is>
      </c>
      <c r="B7" s="2" t="n">
        <v>3</v>
      </c>
      <c r="C7" s="2" t="n">
        <v>6</v>
      </c>
      <c r="D7" s="2" t="n">
        <v>12</v>
      </c>
      <c r="E7" s="6">
        <f>B7*Assumptions!$B$4</f>
        <v/>
      </c>
      <c r="F7" s="6">
        <f>C7*Assumptions!$B$4</f>
        <v/>
      </c>
      <c r="G7" s="6">
        <f>D7*Assumptions!$B$4</f>
        <v/>
      </c>
    </row>
    <row r="8">
      <c r="A8" s="2" t="inlineStr">
        <is>
          <t>Model Registry / Catalog</t>
        </is>
      </c>
      <c r="B8" s="2" t="n">
        <v>1</v>
      </c>
      <c r="C8" s="2" t="n">
        <v>3</v>
      </c>
      <c r="D8" s="2" t="n">
        <v>5</v>
      </c>
      <c r="E8" s="6">
        <f>B8*Assumptions!$B$4</f>
        <v/>
      </c>
      <c r="F8" s="6">
        <f>C8*Assumptions!$B$4</f>
        <v/>
      </c>
      <c r="G8" s="6">
        <f>D8*Assumptions!$B$4</f>
        <v/>
      </c>
    </row>
    <row r="9">
      <c r="A9" s="2" t="inlineStr">
        <is>
          <t>AI Gateway (унифицированный клиент, ретраи, фолбэк, cost logging)</t>
        </is>
      </c>
      <c r="B9" s="2" t="n">
        <v>4</v>
      </c>
      <c r="C9" s="2" t="n">
        <v>8</v>
      </c>
      <c r="D9" s="2" t="n">
        <v>15</v>
      </c>
      <c r="E9" s="6">
        <f>B9*Assumptions!$B$4</f>
        <v/>
      </c>
      <c r="F9" s="6">
        <f>C9*Assumptions!$B$4</f>
        <v/>
      </c>
      <c r="G9" s="6">
        <f>D9*Assumptions!$B$4</f>
        <v/>
      </c>
    </row>
    <row r="10">
      <c r="A10" s="2" t="inlineStr">
        <is>
          <t>Generation API + Queue + Workers (image)</t>
        </is>
      </c>
      <c r="B10" s="2" t="n">
        <v>3</v>
      </c>
      <c r="C10" s="2" t="n">
        <v>6</v>
      </c>
      <c r="D10" s="2" t="n">
        <v>10</v>
      </c>
      <c r="E10" s="6">
        <f>B10*Assumptions!$B$4</f>
        <v/>
      </c>
      <c r="F10" s="6">
        <f>C10*Assumptions!$B$4</f>
        <v/>
      </c>
      <c r="G10" s="6">
        <f>D10*Assumptions!$B$4</f>
        <v/>
      </c>
    </row>
    <row r="11">
      <c r="A11" s="2" t="inlineStr">
        <is>
          <t>Generation API + Queue + Workers (video)</t>
        </is>
      </c>
      <c r="B11" s="2" t="n">
        <v>5</v>
      </c>
      <c r="C11" s="2" t="n">
        <v>10</v>
      </c>
      <c r="D11" s="2" t="n">
        <v>18</v>
      </c>
      <c r="E11" s="6">
        <f>B11*Assumptions!$B$4</f>
        <v/>
      </c>
      <c r="F11" s="6">
        <f>C11*Assumptions!$B$4</f>
        <v/>
      </c>
      <c r="G11" s="6">
        <f>D11*Assumptions!$B$4</f>
        <v/>
      </c>
    </row>
    <row r="12">
      <c r="A12" s="2" t="inlineStr">
        <is>
          <t>Generation (audio/voice)</t>
        </is>
      </c>
      <c r="B12" s="2" t="n">
        <v>2</v>
      </c>
      <c r="C12" s="2" t="n">
        <v>4</v>
      </c>
      <c r="D12" s="2" t="n">
        <v>8</v>
      </c>
      <c r="E12" s="6">
        <f>B12*Assumptions!$B$4</f>
        <v/>
      </c>
      <c r="F12" s="6">
        <f>C12*Assumptions!$B$4</f>
        <v/>
      </c>
      <c r="G12" s="6">
        <f>D12*Assumptions!$B$4</f>
        <v/>
      </c>
    </row>
    <row r="13">
      <c r="A13" s="2" t="inlineStr">
        <is>
          <t>Чат/LLM интеграция (мультимодельный чат)</t>
        </is>
      </c>
      <c r="B13" s="2" t="n">
        <v>2</v>
      </c>
      <c r="C13" s="2" t="n">
        <v>5</v>
      </c>
      <c r="D13" s="2" t="n">
        <v>9</v>
      </c>
      <c r="E13" s="6">
        <f>B13*Assumptions!$B$4</f>
        <v/>
      </c>
      <c r="F13" s="6">
        <f>C13*Assumptions!$B$4</f>
        <v/>
      </c>
      <c r="G13" s="6">
        <f>D13*Assumptions!$B$4</f>
        <v/>
      </c>
    </row>
    <row r="14">
      <c r="A14" s="2" t="inlineStr">
        <is>
          <t>Telegram Mini App (UI, генерация, история, баланс)</t>
        </is>
      </c>
      <c r="B14" s="2" t="n">
        <v>5</v>
      </c>
      <c r="C14" s="2" t="n">
        <v>10</v>
      </c>
      <c r="D14" s="2" t="n">
        <v>18</v>
      </c>
      <c r="E14" s="6">
        <f>B14*Assumptions!$B$4</f>
        <v/>
      </c>
      <c r="F14" s="6">
        <f>C14*Assumptions!$B$4</f>
        <v/>
      </c>
      <c r="G14" s="6">
        <f>D14*Assumptions!$B$4</f>
        <v/>
      </c>
    </row>
    <row r="15">
      <c r="A15" s="2" t="inlineStr">
        <is>
          <t>Telegram Bot (команды, уведомления, webhook)</t>
        </is>
      </c>
      <c r="B15" s="2" t="n">
        <v>2</v>
      </c>
      <c r="C15" s="2" t="n">
        <v>4</v>
      </c>
      <c r="D15" s="2" t="n">
        <v>7</v>
      </c>
      <c r="E15" s="6">
        <f>B15*Assumptions!$B$4</f>
        <v/>
      </c>
      <c r="F15" s="6">
        <f>C15*Assumptions!$B$4</f>
        <v/>
      </c>
      <c r="G15" s="6">
        <f>D15*Assumptions!$B$4</f>
        <v/>
      </c>
    </row>
    <row r="16">
      <c r="A16" s="2" t="inlineStr">
        <is>
          <t>История генераций, медиатека, шаринг</t>
        </is>
      </c>
      <c r="B16" s="2" t="n">
        <v>2</v>
      </c>
      <c r="C16" s="2" t="n">
        <v>4</v>
      </c>
      <c r="D16" s="2" t="n">
        <v>7</v>
      </c>
      <c r="E16" s="6">
        <f>B16*Assumptions!$B$4</f>
        <v/>
      </c>
      <c r="F16" s="6">
        <f>C16*Assumptions!$B$4</f>
        <v/>
      </c>
      <c r="G16" s="6">
        <f>D16*Assumptions!$B$4</f>
        <v/>
      </c>
    </row>
    <row r="17">
      <c r="A17" s="2" t="inlineStr">
        <is>
          <t>Admin Panel</t>
        </is>
      </c>
      <c r="B17" s="2" t="n">
        <v>2</v>
      </c>
      <c r="C17" s="2" t="n">
        <v>5</v>
      </c>
      <c r="D17" s="2" t="n">
        <v>9</v>
      </c>
      <c r="E17" s="6">
        <f>B17*Assumptions!$B$4</f>
        <v/>
      </c>
      <c r="F17" s="6">
        <f>C17*Assumptions!$B$4</f>
        <v/>
      </c>
      <c r="G17" s="6">
        <f>D17*Assumptions!$B$4</f>
        <v/>
      </c>
    </row>
    <row r="18">
      <c r="A18" s="2" t="inlineStr">
        <is>
          <t>Observability (логи, метрики, алерты)</t>
        </is>
      </c>
      <c r="B18" s="2" t="n">
        <v>2</v>
      </c>
      <c r="C18" s="2" t="n">
        <v>4</v>
      </c>
      <c r="D18" s="2" t="n">
        <v>6</v>
      </c>
      <c r="E18" s="6">
        <f>B18*Assumptions!$B$4</f>
        <v/>
      </c>
      <c r="F18" s="6">
        <f>C18*Assumptions!$B$4</f>
        <v/>
      </c>
      <c r="G18" s="6">
        <f>D18*Assumptions!$B$4</f>
        <v/>
      </c>
    </row>
    <row r="19">
      <c r="A19" s="2" t="inlineStr">
        <is>
          <t>Аналитика продукта</t>
        </is>
      </c>
      <c r="B19" s="2" t="n">
        <v>1</v>
      </c>
      <c r="C19" s="2" t="n">
        <v>3</v>
      </c>
      <c r="D19" s="2" t="n">
        <v>5</v>
      </c>
      <c r="E19" s="6">
        <f>B19*Assumptions!$B$4</f>
        <v/>
      </c>
      <c r="F19" s="6">
        <f>C19*Assumptions!$B$4</f>
        <v/>
      </c>
      <c r="G19" s="6">
        <f>D19*Assumptions!$B$4</f>
        <v/>
      </c>
    </row>
    <row r="20">
      <c r="A20" s="2" t="inlineStr">
        <is>
          <t>Локализация (Bahasa Indonesia + English)</t>
        </is>
      </c>
      <c r="B20" s="2" t="n">
        <v>1</v>
      </c>
      <c r="C20" s="2" t="n">
        <v>3</v>
      </c>
      <c r="D20" s="2" t="n">
        <v>5</v>
      </c>
      <c r="E20" s="6">
        <f>B20*Assumptions!$B$4</f>
        <v/>
      </c>
      <c r="F20" s="6">
        <f>C20*Assumptions!$B$4</f>
        <v/>
      </c>
      <c r="G20" s="6">
        <f>D20*Assumptions!$B$4</f>
        <v/>
      </c>
    </row>
    <row r="21">
      <c r="A21" s="2" t="inlineStr">
        <is>
          <t>Compliance/юр. (ToS, Privacy, UU PDP, возрастные ограничения)</t>
        </is>
      </c>
      <c r="B21" s="2" t="n">
        <v>2</v>
      </c>
      <c r="C21" s="2" t="n">
        <v>4</v>
      </c>
      <c r="D21" s="2" t="n">
        <v>8</v>
      </c>
      <c r="E21" s="6">
        <f>B21*Assumptions!$B$4</f>
        <v/>
      </c>
      <c r="F21" s="6">
        <f>C21*Assumptions!$B$4</f>
        <v/>
      </c>
      <c r="G21" s="6">
        <f>D21*Assumptions!$B$4</f>
        <v/>
      </c>
    </row>
    <row r="22">
      <c r="A22" s="2" t="inlineStr">
        <is>
          <t>Модерация контента (NSFW-фильтр)</t>
        </is>
      </c>
      <c r="B22" s="2" t="n">
        <v>2</v>
      </c>
      <c r="C22" s="2" t="n">
        <v>4</v>
      </c>
      <c r="D22" s="2" t="n">
        <v>8</v>
      </c>
      <c r="E22" s="6">
        <f>B22*Assumptions!$B$4</f>
        <v/>
      </c>
      <c r="F22" s="6">
        <f>C22*Assumptions!$B$4</f>
        <v/>
      </c>
      <c r="G22" s="6">
        <f>D22*Assumptions!$B$4</f>
        <v/>
      </c>
    </row>
    <row r="23">
      <c r="A23" s="2" t="inlineStr">
        <is>
          <t>QA / нагрузочное тестирование / security review</t>
        </is>
      </c>
      <c r="B23" s="2" t="n">
        <v>2</v>
      </c>
      <c r="C23" s="2" t="n">
        <v>5</v>
      </c>
      <c r="D23" s="2" t="n">
        <v>9</v>
      </c>
      <c r="E23" s="6">
        <f>B23*Assumptions!$B$4</f>
        <v/>
      </c>
      <c r="F23" s="6">
        <f>C23*Assumptions!$B$4</f>
        <v/>
      </c>
      <c r="G23" s="6">
        <f>D23*Assumptions!$B$4</f>
        <v/>
      </c>
    </row>
    <row r="24">
      <c r="A24" s="7" t="inlineStr">
        <is>
          <t>ИТОГО</t>
        </is>
      </c>
      <c r="B24" s="8">
        <f>SUM(B4:B23)</f>
        <v/>
      </c>
      <c r="C24" s="8">
        <f>SUM(C4:C23)</f>
        <v/>
      </c>
      <c r="D24" s="8">
        <f>SUM(D4:D23)</f>
        <v/>
      </c>
      <c r="E24" s="9">
        <f>SUM(E4:E23)</f>
        <v/>
      </c>
      <c r="F24" s="9">
        <f>SUM(F4:F23)</f>
        <v/>
      </c>
      <c r="G24" s="9">
        <f>SUM(G4:G23)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4" customWidth="1" min="4" max="4"/>
    <col width="16" customWidth="1" min="5" max="5"/>
    <col width="12" customWidth="1" min="6" max="6"/>
    <col width="16" customWidth="1" min="7" max="7"/>
    <col width="18" customWidth="1" min="8" max="8"/>
  </cols>
  <sheetData>
    <row r="1">
      <c r="A1" s="1" t="inlineStr">
        <is>
          <t>Пересчёт на команды и календарные сроки</t>
        </is>
      </c>
    </row>
    <row r="3">
      <c r="A3" s="5" t="inlineStr">
        <is>
          <t>Сценарий</t>
        </is>
      </c>
      <c r="B3" s="5" t="inlineStr">
        <is>
          <t>Множитель скорости</t>
        </is>
      </c>
      <c r="C3" s="5" t="inlineStr">
        <is>
          <t>Мин. (мес.)</t>
        </is>
      </c>
      <c r="D3" s="5" t="inlineStr">
        <is>
          <t>Реалистично (мес.)</t>
        </is>
      </c>
      <c r="E3" s="5" t="inlineStr">
        <is>
          <t>Пессимистично (мес.)</t>
        </is>
      </c>
      <c r="F3" s="5" t="inlineStr">
        <is>
          <t>Мин. (USD)</t>
        </is>
      </c>
      <c r="G3" s="5" t="inlineStr">
        <is>
          <t>Реалистично (USD)</t>
        </is>
      </c>
      <c r="H3" s="5" t="inlineStr">
        <is>
          <t>Пессимистично (USD)</t>
        </is>
      </c>
    </row>
    <row r="4">
      <c r="A4" s="2" t="inlineStr">
        <is>
          <t>S1 — 1 разработчик</t>
        </is>
      </c>
      <c r="B4" s="10">
        <f>Assumptions!$B$6</f>
        <v/>
      </c>
      <c r="C4" s="11">
        <f>(Modules!$B$24)/(Assumptions!$B$3*Assumptions!$B$6)</f>
        <v/>
      </c>
      <c r="D4" s="11">
        <f>(Modules!$C$24)/(Assumptions!$B$3*Assumptions!$B$6)</f>
        <v/>
      </c>
      <c r="E4" s="11">
        <f>(Modules!$D$24)/(Assumptions!$B$3*Assumptions!$B$6)</f>
        <v/>
      </c>
      <c r="F4" s="6">
        <f>(Modules!$B$24)*(Assumptions!$B$4)</f>
        <v/>
      </c>
      <c r="G4" s="6">
        <f>(Modules!$C$24)*(Assumptions!$B$4)</f>
        <v/>
      </c>
      <c r="H4" s="6">
        <f>(Modules!$D$24)*(Assumptions!$B$4)</f>
        <v/>
      </c>
    </row>
    <row r="5">
      <c r="A5" s="2" t="inlineStr">
        <is>
          <t>S2 — 2 разработчика</t>
        </is>
      </c>
      <c r="B5" s="10">
        <f>Assumptions!$B$7</f>
        <v/>
      </c>
      <c r="C5" s="11">
        <f>(Modules!$B$24)/(Assumptions!$B$3*Assumptions!$B$7)</f>
        <v/>
      </c>
      <c r="D5" s="11">
        <f>(Modules!$C$24)/(Assumptions!$B$3*Assumptions!$B$7)</f>
        <v/>
      </c>
      <c r="E5" s="11">
        <f>(Modules!$D$24)/(Assumptions!$B$3*Assumptions!$B$7)</f>
        <v/>
      </c>
      <c r="F5" s="6">
        <f>(Modules!$B$24)*(Assumptions!$B$4)</f>
        <v/>
      </c>
      <c r="G5" s="6">
        <f>(Modules!$C$24)*(Assumptions!$B$4)</f>
        <v/>
      </c>
      <c r="H5" s="6">
        <f>(Modules!$D$24)*(Assumptions!$B$4)</f>
        <v/>
      </c>
    </row>
    <row r="6">
      <c r="A6" s="2" t="inlineStr">
        <is>
          <t>S3 — команда 4-5 чел.</t>
        </is>
      </c>
      <c r="B6" s="10">
        <f>Assumptions!$B$8</f>
        <v/>
      </c>
      <c r="C6" s="11">
        <f>(Modules!$B$24)/(Assumptions!$B$3*Assumptions!$B$8)</f>
        <v/>
      </c>
      <c r="D6" s="11">
        <f>(Modules!$C$24)/(Assumptions!$B$3*Assumptions!$B$8)</f>
        <v/>
      </c>
      <c r="E6" s="11">
        <f>(Modules!$D$24)/(Assumptions!$B$3*Assumptions!$B$8)</f>
        <v/>
      </c>
      <c r="F6" s="6">
        <f>(Modules!$B$24)*(Assumptions!$B$5)</f>
        <v/>
      </c>
      <c r="G6" s="6">
        <f>(Modules!$C$24)*(Assumptions!$B$5)</f>
        <v/>
      </c>
      <c r="H6" s="6">
        <f>(Modules!$D$24)*(Assumptions!$B$5)</f>
        <v/>
      </c>
    </row>
    <row r="8">
      <c r="A8" s="4" t="inlineStr">
        <is>
          <t>Методология оценки дней/модуль — см. docs/due-diligence/syntx/08-roadmap.md §8.1-8.2 (откалибровано по истории коммитов этого репозитория).</t>
        </is>
      </c>
    </row>
  </sheetData>
  <mergeCells count="2">
    <mergeCell ref="A8:F8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2026-07-11T13:24:54Z</dcterms:created>
  <dcterms:modified xsi:type="dcterms:W3CDTF">2026-07-11T13:24:54Z</dcterms:modified>
</cp:coreProperties>
</file>